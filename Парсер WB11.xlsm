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apfu\OneDrive\Рабочий стол\"/>
    </mc:Choice>
  </mc:AlternateContent>
  <bookViews>
    <workbookView xWindow="0" yWindow="0" windowWidth="28770" windowHeight="10095" activeTab="2"/>
  </bookViews>
  <sheets>
    <sheet name="Лист34" sheetId="34" r:id="rId1"/>
    <sheet name="Лист1" sheetId="1" r:id="rId2"/>
    <sheet name="Лист2" sheetId="3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5" i="34" l="1"/>
  <c r="G305" i="34"/>
  <c r="F304" i="34"/>
  <c r="G304" i="34"/>
  <c r="F303" i="34"/>
  <c r="G303" i="34"/>
  <c r="F302" i="34"/>
  <c r="G302" i="34"/>
  <c r="F301" i="34"/>
  <c r="G301" i="34"/>
  <c r="F300" i="34"/>
  <c r="G300" i="34"/>
  <c r="F299" i="34"/>
  <c r="G299" i="34"/>
  <c r="F298" i="34"/>
  <c r="G298" i="34"/>
  <c r="F297" i="34"/>
  <c r="G297" i="34"/>
  <c r="F296" i="34"/>
  <c r="G296" i="34"/>
  <c r="F295" i="34"/>
  <c r="G295" i="34"/>
  <c r="F294" i="34"/>
  <c r="G294" i="34"/>
  <c r="F293" i="34"/>
  <c r="G293" i="34"/>
  <c r="F292" i="34"/>
  <c r="G292" i="34"/>
  <c r="F291" i="34"/>
  <c r="G291" i="34"/>
  <c r="F290" i="34"/>
  <c r="G290" i="34"/>
  <c r="F289" i="34"/>
  <c r="G289" i="34"/>
  <c r="F288" i="34"/>
  <c r="G288" i="34"/>
  <c r="F287" i="34"/>
  <c r="G287" i="34"/>
  <c r="F286" i="34"/>
  <c r="G286" i="34"/>
  <c r="F285" i="34"/>
  <c r="G285" i="34"/>
  <c r="F284" i="34"/>
  <c r="G284" i="34"/>
  <c r="F283" i="34"/>
  <c r="G283" i="34"/>
  <c r="F282" i="34"/>
  <c r="G282" i="34"/>
  <c r="F281" i="34"/>
  <c r="G281" i="34"/>
  <c r="F280" i="34"/>
  <c r="G280" i="34"/>
  <c r="F279" i="34"/>
  <c r="G279" i="34"/>
  <c r="F278" i="34"/>
  <c r="G278" i="34"/>
  <c r="F277" i="34"/>
  <c r="G277" i="34"/>
  <c r="F276" i="34"/>
  <c r="G276" i="34"/>
  <c r="F275" i="34"/>
  <c r="G275" i="34"/>
  <c r="F274" i="34"/>
  <c r="G274" i="34"/>
  <c r="F273" i="34"/>
  <c r="G273" i="34"/>
  <c r="F272" i="34"/>
  <c r="G272" i="34"/>
  <c r="F271" i="34"/>
  <c r="G271" i="34"/>
  <c r="F270" i="34"/>
  <c r="G270" i="34"/>
  <c r="F269" i="34"/>
  <c r="G269" i="34"/>
  <c r="F268" i="34"/>
  <c r="G268" i="34"/>
  <c r="F267" i="34"/>
  <c r="G267" i="34"/>
  <c r="F266" i="34"/>
  <c r="G266" i="34"/>
  <c r="F265" i="34"/>
  <c r="G265" i="34"/>
  <c r="F264" i="34"/>
  <c r="G264" i="34"/>
  <c r="F263" i="34"/>
  <c r="G263" i="34"/>
  <c r="F262" i="34"/>
  <c r="G262" i="34"/>
  <c r="F261" i="34"/>
  <c r="G261" i="34"/>
  <c r="F260" i="34"/>
  <c r="G260" i="34"/>
  <c r="F259" i="34"/>
  <c r="G259" i="34"/>
  <c r="F258" i="34"/>
  <c r="G258" i="34"/>
  <c r="F257" i="34"/>
  <c r="G257" i="34"/>
  <c r="F256" i="34"/>
  <c r="G256" i="34"/>
  <c r="F255" i="34"/>
  <c r="G255" i="34"/>
  <c r="F254" i="34"/>
  <c r="G254" i="34"/>
  <c r="F253" i="34"/>
  <c r="G253" i="34"/>
  <c r="F252" i="34"/>
  <c r="G252" i="34"/>
  <c r="F251" i="34"/>
  <c r="G251" i="34"/>
  <c r="F250" i="34"/>
  <c r="G250" i="34"/>
  <c r="F249" i="34"/>
  <c r="G249" i="34"/>
  <c r="F248" i="34"/>
  <c r="G248" i="34"/>
  <c r="F247" i="34"/>
  <c r="G247" i="34"/>
  <c r="F246" i="34"/>
  <c r="G246" i="34"/>
  <c r="F245" i="34"/>
  <c r="G245" i="34"/>
  <c r="F244" i="34"/>
  <c r="G244" i="34"/>
  <c r="F243" i="34"/>
  <c r="G243" i="34"/>
  <c r="F242" i="34"/>
  <c r="G242" i="34"/>
  <c r="F241" i="34"/>
  <c r="G241" i="34"/>
  <c r="F240" i="34"/>
  <c r="G240" i="34"/>
  <c r="F239" i="34"/>
  <c r="G239" i="34"/>
  <c r="F238" i="34"/>
  <c r="G238" i="34"/>
  <c r="F237" i="34"/>
  <c r="G237" i="34"/>
  <c r="F236" i="34"/>
  <c r="G236" i="34"/>
  <c r="F235" i="34"/>
  <c r="G235" i="34"/>
  <c r="F234" i="34"/>
  <c r="G234" i="34"/>
  <c r="F233" i="34"/>
  <c r="G233" i="34"/>
  <c r="F232" i="34"/>
  <c r="G232" i="34"/>
  <c r="F231" i="34"/>
  <c r="G231" i="34"/>
  <c r="F230" i="34"/>
  <c r="G230" i="34"/>
  <c r="F229" i="34"/>
  <c r="G229" i="34"/>
  <c r="F228" i="34"/>
  <c r="G228" i="34"/>
  <c r="F227" i="34"/>
  <c r="G227" i="34"/>
  <c r="F226" i="34"/>
  <c r="G226" i="34"/>
  <c r="F225" i="34"/>
  <c r="G225" i="34"/>
  <c r="F224" i="34"/>
  <c r="G224" i="34"/>
  <c r="F223" i="34"/>
  <c r="G223" i="34"/>
  <c r="F222" i="34"/>
  <c r="G222" i="34"/>
  <c r="F221" i="34"/>
  <c r="G221" i="34"/>
  <c r="F220" i="34"/>
  <c r="G220" i="34"/>
  <c r="F219" i="34"/>
  <c r="G219" i="34"/>
  <c r="F218" i="34"/>
  <c r="G218" i="34"/>
  <c r="F217" i="34"/>
  <c r="G217" i="34"/>
  <c r="F216" i="34"/>
  <c r="G216" i="34"/>
  <c r="F215" i="34"/>
  <c r="G215" i="34"/>
  <c r="F214" i="34"/>
  <c r="G214" i="34"/>
  <c r="F213" i="34"/>
  <c r="G213" i="34"/>
  <c r="F212" i="34"/>
  <c r="G212" i="34"/>
  <c r="F211" i="34"/>
  <c r="G211" i="34"/>
  <c r="F210" i="34"/>
  <c r="G210" i="34"/>
  <c r="F209" i="34"/>
  <c r="G209" i="34"/>
  <c r="F208" i="34"/>
  <c r="G208" i="34"/>
  <c r="F207" i="34"/>
  <c r="G207" i="34"/>
  <c r="F206" i="34"/>
  <c r="G206" i="34"/>
  <c r="F205" i="34"/>
  <c r="G205" i="34"/>
  <c r="F204" i="34"/>
  <c r="G204" i="34"/>
  <c r="F203" i="34"/>
  <c r="G203" i="34"/>
  <c r="F202" i="34"/>
  <c r="G202" i="34"/>
  <c r="F201" i="34"/>
  <c r="G201" i="34"/>
  <c r="F200" i="34"/>
  <c r="G200" i="34"/>
  <c r="F199" i="34"/>
  <c r="G199" i="34"/>
  <c r="F198" i="34"/>
  <c r="G198" i="34"/>
  <c r="F197" i="34"/>
  <c r="G197" i="34"/>
  <c r="F196" i="34"/>
  <c r="G196" i="34"/>
  <c r="F195" i="34"/>
  <c r="G195" i="34"/>
  <c r="F194" i="34"/>
  <c r="G194" i="34"/>
  <c r="F193" i="34"/>
  <c r="G193" i="34"/>
  <c r="F192" i="34"/>
  <c r="G192" i="34"/>
  <c r="F191" i="34"/>
  <c r="G191" i="34"/>
  <c r="F190" i="34"/>
  <c r="G190" i="34"/>
  <c r="F189" i="34"/>
  <c r="G189" i="34"/>
  <c r="F188" i="34"/>
  <c r="G188" i="34"/>
  <c r="F187" i="34"/>
  <c r="G187" i="34"/>
  <c r="F186" i="34"/>
  <c r="G186" i="34"/>
  <c r="F185" i="34"/>
  <c r="G185" i="34"/>
  <c r="F184" i="34"/>
  <c r="G184" i="34"/>
  <c r="F183" i="34"/>
  <c r="G183" i="34"/>
  <c r="F182" i="34"/>
  <c r="G182" i="34"/>
  <c r="F181" i="34"/>
  <c r="G181" i="34"/>
  <c r="F180" i="34"/>
  <c r="G180" i="34"/>
  <c r="F179" i="34"/>
  <c r="G179" i="34"/>
  <c r="F178" i="34"/>
  <c r="G178" i="34"/>
  <c r="F177" i="34"/>
  <c r="G177" i="34"/>
  <c r="F176" i="34"/>
  <c r="G176" i="34"/>
  <c r="F175" i="34"/>
  <c r="G175" i="34"/>
  <c r="F174" i="34"/>
  <c r="G174" i="34"/>
  <c r="F173" i="34"/>
  <c r="G173" i="34"/>
  <c r="F172" i="34"/>
  <c r="G172" i="34"/>
  <c r="F171" i="34"/>
  <c r="G171" i="34"/>
  <c r="F170" i="34"/>
  <c r="G170" i="34"/>
  <c r="F169" i="34"/>
  <c r="G169" i="34"/>
  <c r="F168" i="34"/>
  <c r="G168" i="34"/>
  <c r="F167" i="34"/>
  <c r="G167" i="34"/>
  <c r="F166" i="34"/>
  <c r="G166" i="34"/>
  <c r="F165" i="34"/>
  <c r="G165" i="34"/>
  <c r="F164" i="34"/>
  <c r="G164" i="34"/>
  <c r="F163" i="34"/>
  <c r="G163" i="34"/>
  <c r="F162" i="34"/>
  <c r="G162" i="34"/>
  <c r="F161" i="34"/>
  <c r="G161" i="34"/>
  <c r="F160" i="34"/>
  <c r="G160" i="34"/>
  <c r="F159" i="34"/>
  <c r="G159" i="34"/>
  <c r="F158" i="34"/>
  <c r="G158" i="34"/>
  <c r="F157" i="34"/>
  <c r="G157" i="34"/>
  <c r="F156" i="34"/>
  <c r="G156" i="34"/>
  <c r="F155" i="34"/>
  <c r="G155" i="34"/>
  <c r="F154" i="34"/>
  <c r="G154" i="34"/>
  <c r="F153" i="34"/>
  <c r="G153" i="34"/>
  <c r="F152" i="34"/>
  <c r="G152" i="34"/>
  <c r="F151" i="34"/>
  <c r="G151" i="34"/>
  <c r="F150" i="34"/>
  <c r="G150" i="34"/>
  <c r="F149" i="34"/>
  <c r="G149" i="34"/>
  <c r="F148" i="34"/>
  <c r="G148" i="34"/>
  <c r="F147" i="34"/>
  <c r="G147" i="34"/>
  <c r="F146" i="34"/>
  <c r="G146" i="34"/>
  <c r="F145" i="34"/>
  <c r="G145" i="34"/>
  <c r="F144" i="34"/>
  <c r="G144" i="34"/>
  <c r="F143" i="34"/>
  <c r="G143" i="34"/>
  <c r="F142" i="34"/>
  <c r="G142" i="34"/>
  <c r="F141" i="34"/>
  <c r="G141" i="34"/>
  <c r="F140" i="34"/>
  <c r="G140" i="34"/>
  <c r="F139" i="34"/>
  <c r="G139" i="34"/>
  <c r="F138" i="34"/>
  <c r="G138" i="34"/>
  <c r="F137" i="34"/>
  <c r="G137" i="34"/>
  <c r="F136" i="34"/>
  <c r="G136" i="34"/>
  <c r="F135" i="34"/>
  <c r="G135" i="34"/>
  <c r="F134" i="34"/>
  <c r="G134" i="34"/>
  <c r="F133" i="34"/>
  <c r="G133" i="34"/>
  <c r="F132" i="34"/>
  <c r="G132" i="34"/>
  <c r="F131" i="34"/>
  <c r="G131" i="34"/>
  <c r="F130" i="34"/>
  <c r="G130" i="34"/>
  <c r="F129" i="34"/>
  <c r="G129" i="34"/>
  <c r="F128" i="34"/>
  <c r="G128" i="34"/>
  <c r="F127" i="34"/>
  <c r="G127" i="34"/>
  <c r="F126" i="34"/>
  <c r="G126" i="34"/>
  <c r="F125" i="34"/>
  <c r="G125" i="34"/>
  <c r="F124" i="34"/>
  <c r="G124" i="34"/>
  <c r="F123" i="34"/>
  <c r="G123" i="34"/>
  <c r="F122" i="34"/>
  <c r="G122" i="34"/>
  <c r="F121" i="34"/>
  <c r="G121" i="34"/>
  <c r="F120" i="34"/>
  <c r="G120" i="34"/>
  <c r="F119" i="34"/>
  <c r="G119" i="34"/>
  <c r="F118" i="34"/>
  <c r="G118" i="34"/>
  <c r="F117" i="34"/>
  <c r="G117" i="34"/>
  <c r="F116" i="34"/>
  <c r="G116" i="34"/>
  <c r="F115" i="34"/>
  <c r="G115" i="34"/>
  <c r="F114" i="34"/>
  <c r="G114" i="34"/>
  <c r="F113" i="34"/>
  <c r="G113" i="34"/>
  <c r="F112" i="34"/>
  <c r="G112" i="34"/>
  <c r="F111" i="34"/>
  <c r="G111" i="34"/>
  <c r="F110" i="34"/>
  <c r="G110" i="34"/>
  <c r="F109" i="34"/>
  <c r="G109" i="34"/>
  <c r="F108" i="34"/>
  <c r="G108" i="34"/>
  <c r="F107" i="34"/>
  <c r="G107" i="34"/>
  <c r="F106" i="34"/>
  <c r="G106" i="34"/>
  <c r="F80" i="34" l="1"/>
  <c r="G80" i="34"/>
  <c r="F38" i="34"/>
  <c r="G38" i="34"/>
  <c r="F5" i="34"/>
  <c r="G5" i="34"/>
  <c r="F12" i="34"/>
  <c r="G12" i="34"/>
  <c r="F11" i="34"/>
  <c r="G11" i="34"/>
  <c r="F7" i="34"/>
  <c r="G7" i="34"/>
  <c r="F83" i="34"/>
  <c r="G83" i="34"/>
  <c r="F73" i="34"/>
  <c r="G73" i="34"/>
  <c r="F105" i="34"/>
  <c r="G105" i="34"/>
  <c r="F58" i="34"/>
  <c r="G58" i="34"/>
  <c r="F26" i="34"/>
  <c r="G26" i="34"/>
  <c r="F29" i="34"/>
  <c r="G29" i="34"/>
  <c r="F97" i="34"/>
  <c r="G97" i="34"/>
  <c r="F59" i="34"/>
  <c r="G59" i="34"/>
  <c r="F33" i="34"/>
  <c r="G33" i="34"/>
  <c r="F74" i="34"/>
  <c r="G74" i="34"/>
  <c r="F86" i="34"/>
  <c r="G86" i="34"/>
  <c r="F9" i="34"/>
  <c r="G9" i="34"/>
  <c r="F28" i="34"/>
  <c r="G28" i="34"/>
  <c r="F21" i="34"/>
  <c r="G21" i="34"/>
  <c r="F35" i="34"/>
  <c r="G35" i="34"/>
  <c r="F36" i="34"/>
  <c r="G36" i="34"/>
  <c r="F20" i="34"/>
  <c r="G20" i="34"/>
  <c r="F49" i="34"/>
  <c r="G49" i="34"/>
  <c r="F85" i="34"/>
  <c r="G85" i="34"/>
  <c r="F48" i="34"/>
  <c r="G48" i="34"/>
  <c r="F4" i="34"/>
  <c r="G4" i="34"/>
  <c r="F82" i="34"/>
  <c r="G82" i="34"/>
  <c r="F32" i="34"/>
  <c r="G32" i="34"/>
  <c r="F77" i="34"/>
  <c r="G77" i="34"/>
  <c r="F42" i="34"/>
  <c r="G42" i="34"/>
  <c r="F27" i="34"/>
  <c r="G27" i="34"/>
  <c r="F81" i="34"/>
  <c r="G81" i="34"/>
  <c r="F71" i="34"/>
  <c r="G71" i="34"/>
  <c r="F24" i="34"/>
  <c r="G24" i="34"/>
  <c r="F78" i="34"/>
  <c r="G78" i="34"/>
  <c r="F64" i="34"/>
  <c r="G64" i="34"/>
  <c r="F96" i="34"/>
  <c r="G96" i="34"/>
  <c r="F72" i="34"/>
  <c r="G72" i="34"/>
  <c r="F92" i="34"/>
  <c r="G92" i="34"/>
  <c r="F14" i="34"/>
  <c r="G14" i="34"/>
  <c r="F8" i="34"/>
  <c r="G8" i="34"/>
  <c r="F53" i="34"/>
  <c r="G53" i="34"/>
  <c r="F39" i="34"/>
  <c r="G39" i="34"/>
  <c r="F55" i="34"/>
  <c r="G55" i="34"/>
  <c r="F75" i="34"/>
  <c r="G75" i="34"/>
  <c r="F25" i="34"/>
  <c r="G25" i="34"/>
  <c r="F103" i="34"/>
  <c r="G103" i="34"/>
  <c r="F18" i="34"/>
  <c r="G18" i="34"/>
  <c r="F16" i="34"/>
  <c r="G16" i="34"/>
  <c r="F70" i="34"/>
  <c r="G70" i="34"/>
  <c r="F10" i="34"/>
  <c r="G10" i="34"/>
  <c r="F67" i="34"/>
  <c r="G67" i="34"/>
  <c r="F100" i="34"/>
  <c r="G100" i="34"/>
  <c r="F98" i="34"/>
  <c r="G98" i="34"/>
  <c r="F40" i="34"/>
  <c r="G40" i="34"/>
  <c r="F6" i="34"/>
  <c r="G6" i="34"/>
  <c r="F34" i="34"/>
  <c r="G34" i="34"/>
  <c r="F89" i="34"/>
  <c r="G89" i="34"/>
  <c r="F95" i="34"/>
  <c r="G95" i="34"/>
  <c r="F104" i="34"/>
  <c r="G104" i="34"/>
  <c r="F43" i="34"/>
  <c r="G43" i="34"/>
  <c r="F30" i="34"/>
  <c r="G30" i="34"/>
  <c r="F69" i="34"/>
  <c r="G69" i="34"/>
  <c r="F102" i="34"/>
  <c r="G102" i="34"/>
  <c r="F56" i="34"/>
  <c r="G56" i="34"/>
  <c r="F50" i="34"/>
  <c r="G50" i="34"/>
  <c r="F99" i="34"/>
  <c r="G99" i="34"/>
  <c r="F93" i="34"/>
  <c r="G93" i="34"/>
  <c r="F46" i="34"/>
  <c r="G46" i="34"/>
  <c r="F88" i="34"/>
  <c r="G88" i="34"/>
  <c r="F101" i="34"/>
  <c r="G101" i="34"/>
  <c r="F44" i="34"/>
  <c r="G44" i="34"/>
  <c r="F52" i="34"/>
  <c r="G52" i="34"/>
  <c r="F31" i="34"/>
  <c r="G31" i="34"/>
  <c r="F90" i="34"/>
  <c r="G90" i="34"/>
  <c r="F13" i="34"/>
  <c r="G13" i="34"/>
  <c r="F76" i="34"/>
  <c r="G76" i="34"/>
  <c r="F91" i="34"/>
  <c r="G91" i="34"/>
  <c r="F19" i="34"/>
  <c r="G19" i="34"/>
  <c r="F54" i="34"/>
  <c r="G54" i="34"/>
  <c r="F15" i="34"/>
  <c r="G15" i="34"/>
  <c r="F66" i="34"/>
  <c r="G66" i="34"/>
  <c r="F63" i="34"/>
  <c r="G63" i="34"/>
  <c r="F84" i="34"/>
  <c r="G84" i="34"/>
  <c r="F23" i="34"/>
  <c r="G23" i="34"/>
  <c r="F57" i="34"/>
  <c r="G57" i="34"/>
  <c r="F87" i="34"/>
  <c r="G87" i="34"/>
  <c r="F41" i="34"/>
  <c r="G41" i="34"/>
  <c r="F17" i="34"/>
  <c r="G17" i="34"/>
  <c r="F94" i="34"/>
  <c r="G94" i="34"/>
  <c r="F65" i="34"/>
  <c r="G65" i="34"/>
  <c r="F68" i="34"/>
  <c r="G68" i="34"/>
  <c r="F37" i="34"/>
  <c r="G37" i="34"/>
  <c r="F51" i="34"/>
  <c r="G51" i="34"/>
  <c r="F45" i="34"/>
  <c r="G45" i="34"/>
  <c r="F60" i="34"/>
  <c r="G60" i="34"/>
  <c r="F3" i="34"/>
  <c r="G3" i="34"/>
  <c r="F61" i="34"/>
  <c r="G61" i="34"/>
  <c r="F62" i="34"/>
  <c r="G62" i="34"/>
  <c r="F22" i="34"/>
  <c r="G22" i="34"/>
  <c r="F79" i="34"/>
  <c r="G79" i="34"/>
  <c r="F47" i="34"/>
  <c r="G47" i="34"/>
</calcChain>
</file>

<file path=xl/sharedStrings.xml><?xml version="1.0" encoding="utf-8"?>
<sst xmlns="http://schemas.openxmlformats.org/spreadsheetml/2006/main" count="918" uniqueCount="303">
  <si>
    <t>Бренд</t>
  </si>
  <si>
    <t>Наименование</t>
  </si>
  <si>
    <t>Старая цена</t>
  </si>
  <si>
    <t>Новая цена</t>
  </si>
  <si>
    <t>Запрос</t>
  </si>
  <si>
    <t>Скидка</t>
  </si>
  <si>
    <t>Сумма скидки</t>
  </si>
  <si>
    <t>Аппарат для маникюра</t>
  </si>
  <si>
    <t>Аппарат для педикюра Машинка для маникюра и педикюра / Фрезер для маникюра и педикюра / Аппарат для маникюра и педикюр / 65 W / уход за ногтями / Маникюр / Педикюр</t>
  </si>
  <si>
    <t>Sunny Nails</t>
  </si>
  <si>
    <t>Аппараты для маникюра и педикюра / 15000 об/мин</t>
  </si>
  <si>
    <t>Mordim</t>
  </si>
  <si>
    <t>Аппарат для педикюра STRONG 211/H400RU / STRONG 210 105L / 64 Вт / Аппарат для маникюра и педикюра / фрезер / Для маникюра и педикюра, снятие гель-лака, для рук</t>
  </si>
  <si>
    <t>Mmh STRONG</t>
  </si>
  <si>
    <t>Аппарат для педикюра аппарат для маникюра и педикюра / аппарат для маникюра / 65 (Вт) / уход за ногтями / Маникюр / Педикюр</t>
  </si>
  <si>
    <t>Аппарат для маникюра и педикюра Starly Nails</t>
  </si>
  <si>
    <t>Аппарат для педикюра dm 202 / ZS 601 / MK 202</t>
  </si>
  <si>
    <t>Art Nails</t>
  </si>
  <si>
    <t>Аппарат для педикюра STRONG 210/105L / 64 Вт / маникюр и педикюр / педикюрный аппарат / Маникюр</t>
  </si>
  <si>
    <t>STRONG</t>
  </si>
  <si>
    <t>Аппарат для педикюра ZS-601 / аппарат для маникюра / аппарат для маникира и педикюра / 65 Вт / Аппарат для маникюра и педикюра / аппарат для маникюра / для аппаратного маникюра и педикюра</t>
  </si>
  <si>
    <t>Nail-beauty</t>
  </si>
  <si>
    <t>Аппараты для маникюра и педикюра / Аппарат для маникюра Nail Drill 45000 / 65 вт / 45000 об/мин / для ногтей</t>
  </si>
  <si>
    <t>my self</t>
  </si>
  <si>
    <t>Аппараты для маникюра и педикюра / Damgl-21 / 15 (Вт) / 25000 об/мин / машинка для маникюра</t>
  </si>
  <si>
    <t>DamGL</t>
  </si>
  <si>
    <t>Аппараты для маникюра и педикюра / ZS-601, ZS-603, ZS-606, ZS-711, ZS-717, ZS-719 / 45000 об/мин / Аппарат для маникюра и педикюра</t>
  </si>
  <si>
    <t>Real Master</t>
  </si>
  <si>
    <t>Аппарат для педикюра DM202 / MK202 / ZS601 / маникюр и педикюр / для ногтей / фрезер для ногтей</t>
  </si>
  <si>
    <t>Аппарат для педикюра аппарат для маникюра и педикюра / 2 W / маникюр и педикюр / уход за ногтями / маникюрные принадлежности</t>
  </si>
  <si>
    <t>Nail Flex</t>
  </si>
  <si>
    <t>Аппарат для педикюра Mercedes 2000 / Mercedes / маникюрный набор / маникюрные принадлежности / Маникюр педикюр дома, уход, маникюрный набор фрезы</t>
  </si>
  <si>
    <t>Аппарат для маникюра Mercedes 2000</t>
  </si>
  <si>
    <t>Аппарат для педикюра Аппарат Strong 210 / 64 Вт / моделирование ногтей / снятие гель лака / аппарат для маникюра и педикюра бытовая техника</t>
  </si>
  <si>
    <t>A-ok</t>
  </si>
  <si>
    <t>Аппараты для маникюра и педикюра / Damgl-32 / 2 Вт / 15000 об/мин / маникюрный аппарат</t>
  </si>
  <si>
    <t>Аппараты для маникюра и педикюра / 45000</t>
  </si>
  <si>
    <t>Finest Me</t>
  </si>
  <si>
    <t>Аппараты для маникюра и педикюра / Strong 210/105l / 64 Вт / 35000 об/мин / уход за ногтями</t>
  </si>
  <si>
    <t>Magic Blanc</t>
  </si>
  <si>
    <t>Аппараты для маникюра и педикюра / 20000</t>
  </si>
  <si>
    <t>ALF17</t>
  </si>
  <si>
    <t>Аппараты для маникюра и педикюра / Damgl-15 / 2 Вт / 15000 об/мин / маникюрный аппарат</t>
  </si>
  <si>
    <t>Аппарат для педикюра ZS-601 / DM-202 / YM - 202</t>
  </si>
  <si>
    <t>Аппарат для маникюра и педикюра Vip</t>
  </si>
  <si>
    <t>Аппарат для педикюра CH-360T</t>
  </si>
  <si>
    <t>TrendZone</t>
  </si>
  <si>
    <t>Аппарат для педикюра аппарат для маникюра / аппарат для маникира и педикюра / ZS-717 / 65 Вт / уход за ногтями / для аппаратного маникюра и педикюра / Маникюр; Педикюр; уход за ногтями</t>
  </si>
  <si>
    <t>Perfekter Laden</t>
  </si>
  <si>
    <t>Аппарат для педикюра NailDrill</t>
  </si>
  <si>
    <t>LuckyHouse</t>
  </si>
  <si>
    <t>Аппарат для педикюра STRONG 211/H400RU / STRONG 210/105L</t>
  </si>
  <si>
    <t>MimiNails</t>
  </si>
  <si>
    <t>Аппарат для педикюра уход за ногтями</t>
  </si>
  <si>
    <t>Аппарат для педикюра Foster</t>
  </si>
  <si>
    <t>Foster</t>
  </si>
  <si>
    <t>Аппарат для педикюра Global Fashion ZS-718 / 65 W / маникюр, педикюр, уход за ногтями, ногами, стопами / уход за пятками, руками, кутикулой, валиками / для искусственных ногтей, подарок женщине,для фрез</t>
  </si>
  <si>
    <t>Bag of beauty</t>
  </si>
  <si>
    <t>Аппарат для педикюра Mercedes2000 / 12 Вт / Аппарат для маникюра и педикюра</t>
  </si>
  <si>
    <t>Аппарат для педикюра ZS-601 / ZS-603 / ZS-606 / 65 W / для ногтей / Аппарат для маникюра и педикюра / аппарат для домашнего маникюра</t>
  </si>
  <si>
    <t>Nail Studio</t>
  </si>
  <si>
    <t>Аппарат для педикюра dm 202 / MK 202 / 65 Вт / Маникюр; Педикюр; уход за ногтями</t>
  </si>
  <si>
    <t>Аппараты для маникюра и педикюра / B / 2 Вт / 15000 об/мин / маникюр и педикюр</t>
  </si>
  <si>
    <t>Beauty Bang</t>
  </si>
  <si>
    <t>Аппарат для педикюра Mersedes 2000 / 12 w / 65 (Вт) / фрезер / снятие гель-лака / удаление кутикулы / мужской маникюр</t>
  </si>
  <si>
    <t>NailQueen Аппарат для маникюра и педикюра</t>
  </si>
  <si>
    <t>Аппарат для педикюра педикюрный аппарат / 3 W / для тела для кожи / уход за ногтями; маникюр; педикюр / для ванны и душа</t>
  </si>
  <si>
    <t>Body&amp;Mind</t>
  </si>
  <si>
    <t>Аппараты для маникюра и педикюра / 18000 об/мин</t>
  </si>
  <si>
    <t>Aestech</t>
  </si>
  <si>
    <t>Аппараты для маникюра и педикюра / мерседес 2000 / 12 Вт / 20000 об/мин / уход за ногтями</t>
  </si>
  <si>
    <t>Аппарат для педикюра DM-202</t>
  </si>
  <si>
    <t>Proper Nails</t>
  </si>
  <si>
    <t>S&amp;GRUP</t>
  </si>
  <si>
    <t>Аппарат для педикюра ZS-601</t>
  </si>
  <si>
    <t>Nino pro-маникор</t>
  </si>
  <si>
    <t>YANINA.TI</t>
  </si>
  <si>
    <t>Аппараты для маникюра и педикюра / Nail Drill 45000 / 65 Вт / 45000 об/мин / уход за ногтями</t>
  </si>
  <si>
    <t>Аппарат для педикюра 208 / Маникюр педикюр дома, уход, маникюрный набор фрезы</t>
  </si>
  <si>
    <t>BlACK ZERO</t>
  </si>
  <si>
    <t>Аппарат для педикюра Nail Drill / Nail Master / Mersedes 2000</t>
  </si>
  <si>
    <t>Аппарат для педикюра ZS-710</t>
  </si>
  <si>
    <t>Аппарат для маникюра ZS-710</t>
  </si>
  <si>
    <t>Аппарат для педикюра Marathon 3 Champion / 45 Вт / для маникюра и педикюра / для салона красоты / для домашнего использования</t>
  </si>
  <si>
    <t>MARATHON</t>
  </si>
  <si>
    <t>Аппарат для педикюра Аппарат для педикюра / для ног</t>
  </si>
  <si>
    <t>Tuaylab</t>
  </si>
  <si>
    <t>Аппарат для педикюра мерседес 2000 / Аппарат для маникюра и педикюра</t>
  </si>
  <si>
    <t>Аппараты для маникюра и педикюра / уход / 2 Вт / 15000 об/мин / маникюр и педикюр</t>
  </si>
  <si>
    <t>Nail Kingdom</t>
  </si>
  <si>
    <t>Аппараты для маникюра и педикюра / 35000</t>
  </si>
  <si>
    <t>Nelly's Nails</t>
  </si>
  <si>
    <t>Аппарат для педикюра аппарат для маникюра / 2 Вт / маникюр и педикюр</t>
  </si>
  <si>
    <t>Benive</t>
  </si>
  <si>
    <t>Аппарат для педикюра BEURER MP100</t>
  </si>
  <si>
    <t>Beurer</t>
  </si>
  <si>
    <t>Аппарат для педикюра NAIL 358356 / Для маникюра и педикюра, снятие гель-лака, для рук</t>
  </si>
  <si>
    <t>аппарат для маникюра мини</t>
  </si>
  <si>
    <t>Аппарат для педикюра V-601 / 3 W / пилка для пяток</t>
  </si>
  <si>
    <t>Goodz</t>
  </si>
  <si>
    <t>Аппараты для маникюра и педикюра / аппарат для маникюра / 2 вт / 15000 об/мин / для ног</t>
  </si>
  <si>
    <t>RipiCo</t>
  </si>
  <si>
    <t>Аппарат для педикюра M-3CN(White)/H35LSP(White)</t>
  </si>
  <si>
    <t>Аппарат для педикюра LA-M168 / 3 W / пилка для пяток / педикюрный аппарат / шлифовка</t>
  </si>
  <si>
    <t>N-BION</t>
  </si>
  <si>
    <t>Аппарат для педикюра Аппарат для маникюра и педикюр / 2 Вт / маникюр и педикюр / коррекция нарощенных ногтей / снятие гель лака для ногтей</t>
  </si>
  <si>
    <t>ManicureAks</t>
  </si>
  <si>
    <t>Аппараты для маникюра и педикюра / Nail Polisher DM-202 / 45000 оборотов / 45000 об/мин / аппарат для маникюра и педикюра, для ногтей, ног</t>
  </si>
  <si>
    <t>Al Shanta</t>
  </si>
  <si>
    <t>Аппараты для маникюра и педикюра / SC0M269 / 5 Вт / 2000 об/мин / Педикюр</t>
  </si>
  <si>
    <t>KRAINEV HEALTH</t>
  </si>
  <si>
    <t>Аппараты для маникюра и педикюра / 35000 об/мин</t>
  </si>
  <si>
    <t>Pixbeauty</t>
  </si>
  <si>
    <t>Аппарат для педикюра 202 / Nail Drill / 65 (Вт) / уход за ногтями / Маникюр / Педикюр</t>
  </si>
  <si>
    <t>BlACK ZERO / Аппарат для маникюра и педикюра</t>
  </si>
  <si>
    <t>Аппараты для маникюра и педикюра / C6373 / 6Вт / 2200 об/мин / для ног</t>
  </si>
  <si>
    <t>GuliCristal</t>
  </si>
  <si>
    <t>Аппарат для педикюра Marathon 3N/H37LN / 45 Вт / для салона красоты / для домашнего использования</t>
  </si>
  <si>
    <t>Аппарат для педикюра 1 / Аппарат для маникюра и педикюра / аппарат для маникюра / аппарат для маникюра ручка</t>
  </si>
  <si>
    <t>Dreamee Beauty</t>
  </si>
  <si>
    <t>Аппарат для педикюра Аппарат для педикюра и маникюра Nail Drill / Аппарат для маникюра Mercedes 2000 / 65 (Вт) / Аппарат для маникюра и педикюра / фрезер для ногтей / Маникюр педикюр дома</t>
  </si>
  <si>
    <t>Nails</t>
  </si>
  <si>
    <t>Аппарат для педикюра маникюрный набор / аппарат для маникюра / Фрезер для маникюра и педикюра / 65 Вт / педикюр и маникюр</t>
  </si>
  <si>
    <t>Аппарат для маникюра Nail 65Вт</t>
  </si>
  <si>
    <t>Аппарат для педикюра Strong210/105L / 64 Вт / Аппарат для маникюра и педикюра / фрезер / Для маникюра и педикюра, снятие гель-лака, для рук</t>
  </si>
  <si>
    <t>Аппараты для маникюра и педикюра / STRONG 210/105L / 64 Вт / 35000 об/мин / Аппарат для маникюра и педикюра</t>
  </si>
  <si>
    <t>Аппарат для педикюра Стронг 210 / 64 Вт / маникюр и педикюр</t>
  </si>
  <si>
    <t>Ekabeautiful</t>
  </si>
  <si>
    <t>Аппарат для педикюра Marathon Champion 3 / 65Вт</t>
  </si>
  <si>
    <t>BELLESSA PROF</t>
  </si>
  <si>
    <t>Аппарат для педикюра Машинка для маникюра и педикюра / Электрическая роликовая пилка / 7 W / пилка для пяток / педикюрный аппарат / Удаление огрубевшей кожи, натоптышей</t>
  </si>
  <si>
    <t>Аппарат для педикюра Аппарат для маникюра и педикюра Nail Drill DM-202 / 65 Вт / маникюр и педикюр</t>
  </si>
  <si>
    <t>KidsChic</t>
  </si>
  <si>
    <t>Аппарат для педикюра 601 / аппарат для маникюра и педикюра / аппарат для маникюра / 65 Вт / Аппарат для маникюра и педикюра</t>
  </si>
  <si>
    <t>Аппарат для педикюра мерседес 2000 / 12 Вт / фрезер</t>
  </si>
  <si>
    <t>Аппарат для маникюра и педикюра NAILWorld</t>
  </si>
  <si>
    <t>Аппарат для педикюра ZS-603</t>
  </si>
  <si>
    <t>Аппарат для маникюра и педикюра</t>
  </si>
  <si>
    <t>Аппарат для педикюра Nail Drill / Nail Master / Nail Drill 202 / 65 Вт / 65 (Вт) / фрезер / моделирование и наращивание ногтей / удаление кутикулы</t>
  </si>
  <si>
    <t>Аппараты для маникюра и педикюра SunNails</t>
  </si>
  <si>
    <t>Аппарат для педикюра аппарат для маникюра / YM - 202 / 80 Вт / Для маникюра и педикюра, снятие гель-лака, для рук</t>
  </si>
  <si>
    <t>EPI</t>
  </si>
  <si>
    <t>Аппарат для педикюра Champion 3 / SDE-H37LSP / 45 W / маникюр и педикюр</t>
  </si>
  <si>
    <t>Аппарат для педикюра STRONG 211/H400RU / STRONG 210/105L / 64 Вт / для салона красоты / для домашнего использования / маникюр и педикюр; фрезер для ногтей</t>
  </si>
  <si>
    <t>Mmh 211 STRONG</t>
  </si>
  <si>
    <t>Аппарат для педикюра Makeup Magic Y100 / 68 Вт / снятие гель лака для ногтей / для аппаратного маникюра и педикюра / обработка кутикулы, снятие материала, снятие длины</t>
  </si>
  <si>
    <t>Makeup Magic</t>
  </si>
  <si>
    <t>Аппарат для педикюра MARATHON Champion 3 H35LSP / 45 Вт / для маникюра и педикюра / фрезер для ногтей / маникюрный набор</t>
  </si>
  <si>
    <t>Аппарат для педикюра Jinding JD-526R / 5 Вт / для ног / для пяток / для стоп</t>
  </si>
  <si>
    <t>Beauty magic</t>
  </si>
  <si>
    <t>Аппарат для педикюра аппарат для маникюра и педикюра / 9 Вт / маникюр и педикюр</t>
  </si>
  <si>
    <t>отзывов</t>
  </si>
  <si>
    <t>Аппараты для маникюра и педикюра / Машинка для маникюра и педикюра / 65 W / 35000 об/мин / уход за ногтями</t>
  </si>
  <si>
    <t>Аппараты для маникюра и педикюра / NAIL DRILL PRO ZS-717 / Маникюрный аппарат 65 ВАТТ / 45000 об/мин / Аппарат для маникюра и педикюра машинка для снятия гель-лака фрезер обработка ногтей</t>
  </si>
  <si>
    <t>Аппарат для педикюра Аппарат для маникюра педикюра с насадками / 0,5 к Вт. / снятие гель-лака</t>
  </si>
  <si>
    <t>SM Art</t>
  </si>
  <si>
    <t>Аппараты для маникюра и педикюра / Foster / 2 Вт / 15000 об/мин / маникюр и педикюр</t>
  </si>
  <si>
    <t>Аппараты для маникюра и педикюра / STRONG 210/105L / 64 Вт / 35000 об/мин / уход за ногтями</t>
  </si>
  <si>
    <t>Аппараты для маникюра и педикюра / Аппарат для маникюра Nail Drill 45000 / 65 Вт / 45000 об/мин / для ногтей</t>
  </si>
  <si>
    <t>Аппарат для педикюра Аппарат Strong 210 / 64 Вт / моделирование ногтей / снятие гель лака</t>
  </si>
  <si>
    <t>nsally</t>
  </si>
  <si>
    <t>Аппараты для маникюра и педикюра / М3 / 15 Вт / 18000 об/мин / для ногтей</t>
  </si>
  <si>
    <t>Аппарат для педикюра Ферропласт-5</t>
  </si>
  <si>
    <t>Ферропласт</t>
  </si>
  <si>
    <t>Аппарат для педикюра</t>
  </si>
  <si>
    <t>Аппараты для маникюра и педикюра / NAIL DRILL PRO ZS-711 / маникюрный аппарат 65 ВАТ / 35000 об/мин / Аппарат для маникюра и педикюра машинка для снятия гель-лака фрезер обработка ногтей</t>
  </si>
  <si>
    <t>Аппарат для педикюра Ферропласт-Х 10 Премиум</t>
  </si>
  <si>
    <t>Аппарат для педикюра Marathon 3N / 45 Вт / для маникюра и педикюра / для салона красоты / для домашнего использования</t>
  </si>
  <si>
    <t>Аппарат для педикюра STRONG 210 105L / 64 Вт / для салона красоты / для домашнего использования / машинка для маникюра</t>
  </si>
  <si>
    <t>Аппараты для маникюра и педикюра / аппарат для маникюра / 2 Вт / 15000 об/мин / для ног</t>
  </si>
  <si>
    <t>Аппарат для педикюра Стронг 210 / 64 Вт / для маникюра и педикюра</t>
  </si>
  <si>
    <t>Kaaraanly</t>
  </si>
  <si>
    <t>Аппараты для маникюра и педикюра / NAIL DRILL SET ZS-715 / маникюрный аппарат 65 ВАТ / 45000 об/мин / Аппарат для маникюра и педикюра машинка для снятия гель-лака фрезер обработка ногтей</t>
  </si>
  <si>
    <t>Аппарат для педикюра Электрическая роликовая пилка / 7 Вт / пилка для пяток / педикюрный аппарат / уход за пятками</t>
  </si>
  <si>
    <t>Limuvil</t>
  </si>
  <si>
    <t>Аппараты для маникюра и педикюра / 2100</t>
  </si>
  <si>
    <t>S-GRUP</t>
  </si>
  <si>
    <t>Аппарат для педикюра ZS-601;ZS-606;ZS-710;ZS-711;ZS-716;ZS-717;ZS-718 / 65 W / маникюр и педикюр</t>
  </si>
  <si>
    <t>Аппараты для маникюра и педикюра / моделирование уход очищение / 5 Вт / 15000 об/мин / коррекция нарощенных ногтей снятие гель лака</t>
  </si>
  <si>
    <t>Myata cosmetics</t>
  </si>
  <si>
    <t>Аппараты для маникюра и педикюра / F-318 / 12 Вт / 15000 об/мин / для ногтей</t>
  </si>
  <si>
    <t>Аппарат для педикюра ZCA013 / 3 W / пилка для пяток</t>
  </si>
  <si>
    <t>Аппарат для педикюра Электрическая роликовая пилка / 7 Вт / педикюрный аппарат</t>
  </si>
  <si>
    <t>Nimefel</t>
  </si>
  <si>
    <t>Аппарат для педикюра Аппарат для педикюра / педикюрный станок</t>
  </si>
  <si>
    <t>Sinopstore</t>
  </si>
  <si>
    <t>Аппарат для педикюра STRONG 90/102L / 65 (Вт) / пилка для пяток / педикюрный аппарат / Педикюр</t>
  </si>
  <si>
    <t>Аппараты для маникюра и педикюра / ZS-601 / 65 Вт / 35000 об/мин / Аппарат для маникюра и педикюра</t>
  </si>
  <si>
    <t>Аппарат для педикюра H35lSP / N2R / 50 W / маникюр и педикюр</t>
  </si>
  <si>
    <t>Beauty&amp;CareBar</t>
  </si>
  <si>
    <t>холодильник переносной</t>
  </si>
  <si>
    <t>Термосумка</t>
  </si>
  <si>
    <t>antmarket</t>
  </si>
  <si>
    <t>Мини-холодильник для косметики 10 литров</t>
  </si>
  <si>
    <t>The Beauty Agent</t>
  </si>
  <si>
    <t>Сумка холодильник термосумка</t>
  </si>
  <si>
    <t>RUSVELT</t>
  </si>
  <si>
    <t>Peakvil</t>
  </si>
  <si>
    <t>1-й Кухонный</t>
  </si>
  <si>
    <t>СултанEconomy</t>
  </si>
  <si>
    <t>Аккумулятор холода, для термосумки</t>
  </si>
  <si>
    <t>Mount Camp</t>
  </si>
  <si>
    <t>Picnic Antarctica</t>
  </si>
  <si>
    <t>Мини-холодильник для косметики холодильник для косметики</t>
  </si>
  <si>
    <t>DiCo Bеauty</t>
  </si>
  <si>
    <t>Аккумулятор температуры холода хладоэлемент для сумки холодильник термосумки контенер холод лед дача</t>
  </si>
  <si>
    <t>Taticks</t>
  </si>
  <si>
    <t>Термосумка холодильник для еды бутылочек</t>
  </si>
  <si>
    <t>MyThermosBag</t>
  </si>
  <si>
    <t>Аккумулятор температуры</t>
  </si>
  <si>
    <t>Heavy Splash</t>
  </si>
  <si>
    <t>Сумка-холодильник "Умница" СХ-22л.</t>
  </si>
  <si>
    <t>Умница</t>
  </si>
  <si>
    <t>мини кондиционер , портативный</t>
  </si>
  <si>
    <t>KempingShop</t>
  </si>
  <si>
    <t>Мини-холодильник BX1</t>
  </si>
  <si>
    <t>BASEUS</t>
  </si>
  <si>
    <t>Термосумка, Сумка холодильник 96 литров</t>
  </si>
  <si>
    <t>SLЕD</t>
  </si>
  <si>
    <t>Мини-холодильник Car Cooler 4 L</t>
  </si>
  <si>
    <t>TV Shop товары для дома</t>
  </si>
  <si>
    <t>Холодильник автомобильный нагреватель 7.5L автохолодильник для путешествий портативный переносной холодильник</t>
  </si>
  <si>
    <t>Tehmall</t>
  </si>
  <si>
    <t>Мини-холодильник для косметики 6 литров</t>
  </si>
  <si>
    <t>Grand DIOSA</t>
  </si>
  <si>
    <t>Датчик движения Подсветка для рабочей зоны кухни в подвесной шкаф / Светильник на кухню детскую коридор бра люстра / Свет строительный гостиную прихожую Датчик света</t>
  </si>
  <si>
    <t>GOSA</t>
  </si>
  <si>
    <t>mircamping</t>
  </si>
  <si>
    <t>Термосумка холодильник хладоэлементы</t>
  </si>
  <si>
    <t>Smart House</t>
  </si>
  <si>
    <t>Мини-холодильник для косметики Мини</t>
  </si>
  <si>
    <t>Беспроводной светильник на батарейках</t>
  </si>
  <si>
    <t>Mama Mia Shop</t>
  </si>
  <si>
    <t>Mystery MTC-8 Холодильник автомобильный термоэлектрический 8л. (охлаждение, нагрев) Автохолодильник</t>
  </si>
  <si>
    <t>MYSTERY</t>
  </si>
  <si>
    <t>Полка в холодильник Подставка органайзер для холодильника</t>
  </si>
  <si>
    <t>KRIPT HOME</t>
  </si>
  <si>
    <t>Антибактериальный коврик для холодильника/ Набор 3шт/ 1шт/ 50х30/ для посуды/ кухни/ дома/ полок</t>
  </si>
  <si>
    <t>Florana</t>
  </si>
  <si>
    <t>Аккумулятор температуры / хладогент</t>
  </si>
  <si>
    <t>Автохолодильник</t>
  </si>
  <si>
    <t>onlyORIGINAL</t>
  </si>
  <si>
    <t>Мини-холодильник CAR</t>
  </si>
  <si>
    <t>diks</t>
  </si>
  <si>
    <t>Live embrace</t>
  </si>
  <si>
    <t>AM63</t>
  </si>
  <si>
    <t>СКЛАДНАЯ СУМКА-ХОЛОДИЛЬНИК</t>
  </si>
  <si>
    <t>Amin market</t>
  </si>
  <si>
    <t>Термосумка/ сумка холодильник/ для пикника/ ланчбокс, в школу, 8 л</t>
  </si>
  <si>
    <t>Мини-холодильник для косметики / мини-холодильник для лекарств / переносной мини-холодильник</t>
  </si>
  <si>
    <t>AiDi</t>
  </si>
  <si>
    <t>Светильник переносной</t>
  </si>
  <si>
    <t>FERON</t>
  </si>
  <si>
    <t>автомобильный переносной холодильник</t>
  </si>
  <si>
    <t>MAKSIM</t>
  </si>
  <si>
    <t>Мини-холодильник для косметики R</t>
  </si>
  <si>
    <t>нет бренда</t>
  </si>
  <si>
    <t>Reff</t>
  </si>
  <si>
    <t>AIYM Brand</t>
  </si>
  <si>
    <t>Мини-холодильник для косметики мини холодильник автомобильный</t>
  </si>
  <si>
    <t>ismatt</t>
  </si>
  <si>
    <t>Dzo</t>
  </si>
  <si>
    <t>Мини-холодильник CAR COOLER 4 литра</t>
  </si>
  <si>
    <t>CAR COOLER 4L/ Автохолодильник / Мини-холодильник</t>
  </si>
  <si>
    <t>Welcome shop</t>
  </si>
  <si>
    <t>Alpicool</t>
  </si>
  <si>
    <t>Аккумулятор холода для термосумки</t>
  </si>
  <si>
    <t>Холодовая цепь</t>
  </si>
  <si>
    <t>Холодильник в дорогу</t>
  </si>
  <si>
    <t>Viento</t>
  </si>
  <si>
    <t>WIIIX</t>
  </si>
  <si>
    <t>Термосумка холодильник сумка для еды для ланчбокса дорожная для пикника с аккумуляторами холода</t>
  </si>
  <si>
    <t>FRESHBOX</t>
  </si>
  <si>
    <t>ЛюмирА</t>
  </si>
  <si>
    <t>Запчасть для холодильника 19903</t>
  </si>
  <si>
    <t>Secop</t>
  </si>
  <si>
    <t>Блендер БЛЕНДЕР ДЛЯ КУХНИ / переносной / 9 Вт</t>
  </si>
  <si>
    <t>Macer</t>
  </si>
  <si>
    <t>Коврик для холодильника</t>
  </si>
  <si>
    <t>MR HOUSE</t>
  </si>
  <si>
    <t>Мини холодильник для косметики</t>
  </si>
  <si>
    <t>Истории красоты</t>
  </si>
  <si>
    <t>Мини-холодильник для косметики MFA-08</t>
  </si>
  <si>
    <t>La Beaute</t>
  </si>
  <si>
    <t>Сумка хозяйственная</t>
  </si>
  <si>
    <t>Conte de lavande</t>
  </si>
  <si>
    <t>Для длительных путешествий</t>
  </si>
  <si>
    <t>Мастерская</t>
  </si>
  <si>
    <t>Фонарь спортивный ММ-TS-T5</t>
  </si>
  <si>
    <t>SEMI</t>
  </si>
  <si>
    <t>Органайзер в багажник авто</t>
  </si>
  <si>
    <t>KazTop</t>
  </si>
  <si>
    <t>Мини-холодильник мини-холодильник</t>
  </si>
  <si>
    <t>Jans shop</t>
  </si>
  <si>
    <t>DK beauty</t>
  </si>
  <si>
    <t>Мини-холодильник для косметики</t>
  </si>
  <si>
    <t>BASEUS.SHOP</t>
  </si>
  <si>
    <t>Термосумка для бутылочки</t>
  </si>
  <si>
    <t>AbRad Home</t>
  </si>
  <si>
    <t>Мини-холодильник для косметики Холодильник</t>
  </si>
  <si>
    <t>Online Luxury</t>
  </si>
  <si>
    <t>Москва</t>
  </si>
  <si>
    <t>Минск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</si>
</sst>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2" fontId="0" fillId="0" borderId="0" xfId="0" applyNumberFormat="1"/>
    <xf numFmtId="9" fontId="0" fillId="0" borderId="0" xfId="1" applyNumberFormat="1" applyFont="1"/>
    <xf numFmtId="0" fontId="2" fillId="0" borderId="0" xfId="2"/>
    <xf numFmtId="0" fontId="0" fillId="0" borderId="0" xfId="0" applyNumberFormat="1"/>
    <xf numFmtId="14" fontId="0" fillId="0" borderId="0" xfId="0" applyNumberFormat="1"/>
  </cellXfs>
  <cellStyles count="3">
    <cellStyle name="Гиперссылка" xfId="2" builtinId="8"/>
    <cellStyle name="Обычный" xfId="0" builtinId="0"/>
    <cellStyle name="Процентный" xfId="1" builtinId="5"/>
  </cellStyles>
  <dxfs count="4">
    <dxf>
      <numFmt numFmtId="0" formatCode="General"/>
    </dxf>
    <dxf>
      <numFmt numFmtId="13" formatCode="0%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3381375</xdr:colOff>
      <xdr:row>0</xdr:row>
      <xdr:rowOff>76200</xdr:rowOff>
    </xdr:from>
    <xdr:to>
      <xdr:col>1</xdr:col>
      <xdr:colOff>4114800</xdr:colOff>
      <xdr:row>0</xdr:row>
      <xdr:rowOff>504825</xdr:rowOff>
    </xdr:to>
    <xdr:sp macro="[0]!TestSelenium2" textlink="">
      <xdr:nvSpPr>
        <xdr:cNvPr id="2" name="Скругленный прямоугольник 1"/>
        <xdr:cNvSpPr/>
      </xdr:nvSpPr>
      <xdr:spPr>
        <a:xfrm>
          <a:off x="5838825" y="76200"/>
          <a:ext cx="7334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Таблица1" displayName="Таблица1" ref="A2:H305" totalsRowShown="0">
  <autoFilter ref="A2:H305"/>
  <sortState ref="A3:H105">
    <sortCondition descending="1" ref="C2:C105"/>
  </sortState>
  <tableColumns count="8">
    <tableColumn id="1" name="Бренд"/>
    <tableColumn id="2" name="Наименование"/>
    <tableColumn id="3" name="Новая цена" dataDxfId="3"/>
    <tableColumn id="4" name="Старая цена" dataDxfId="2"/>
    <tableColumn id="5" name="Запрос" dataCellStyle="Гиперссылка"/>
    <tableColumn id="6" name="Скидка" dataDxfId="1" dataCellStyle="Процентный">
      <calculatedColumnFormula>IFERROR((Таблица1[[#This Row],[Старая цена]]-Таблица1[[#This Row],[Новая цена]])/Таблица1[[#This Row],[Старая цена]],0)</calculatedColumnFormula>
    </tableColumn>
    <tableColumn id="7" name="Сумма скидки" dataDxfId="0">
      <calculatedColumnFormula>Таблица1[[#This Row],[Старая цена]]-Таблица1[[#This Row],[Новая цена]]</calculatedColumnFormula>
    </tableColumn>
    <tableColumn id="8" name="отзывов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wildberries.ru/catalog/85469295/detail.aspx?targetUrl=XS" TargetMode="External"/><Relationship Id="rId299" Type="http://schemas.openxmlformats.org/officeDocument/2006/relationships/hyperlink" Target="https://www.wildberries.ru/catalog/97302884/detail.aspx?targetUrl=XS" TargetMode="External"/><Relationship Id="rId303" Type="http://schemas.openxmlformats.org/officeDocument/2006/relationships/hyperlink" Target="https://www.wildberries.ru/catalog/92509924/detail.aspx?targetUrl=XS" TargetMode="External"/><Relationship Id="rId21" Type="http://schemas.openxmlformats.org/officeDocument/2006/relationships/hyperlink" Target="https://www.wildberries.ru/catalog/86901496/detail.aspx?targetUrl=XS" TargetMode="External"/><Relationship Id="rId42" Type="http://schemas.openxmlformats.org/officeDocument/2006/relationships/hyperlink" Target="https://www.wildberries.ru/catalog/70736710/detail.aspx?targetUrl=XS" TargetMode="External"/><Relationship Id="rId63" Type="http://schemas.openxmlformats.org/officeDocument/2006/relationships/hyperlink" Target="https://www.wildberries.ru/catalog/115550463/detail.aspx?targetUrl=XS" TargetMode="External"/><Relationship Id="rId84" Type="http://schemas.openxmlformats.org/officeDocument/2006/relationships/hyperlink" Target="https://www.wildberries.ru/catalog/79689096/detail.aspx?targetUrl=XS" TargetMode="External"/><Relationship Id="rId138" Type="http://schemas.openxmlformats.org/officeDocument/2006/relationships/hyperlink" Target="https://www.wildberries.ru/catalog/114707465/detail.aspx?targetUrl=XS" TargetMode="External"/><Relationship Id="rId159" Type="http://schemas.openxmlformats.org/officeDocument/2006/relationships/hyperlink" Target="https://www.wildberries.ru/catalog/94117903/detail.aspx?targetUrl=XS" TargetMode="External"/><Relationship Id="rId170" Type="http://schemas.openxmlformats.org/officeDocument/2006/relationships/hyperlink" Target="https://www.wildberries.ru/catalog/73423707/detail.aspx?targetUrl=XS" TargetMode="External"/><Relationship Id="rId191" Type="http://schemas.openxmlformats.org/officeDocument/2006/relationships/hyperlink" Target="https://www.wildberries.ru/catalog/93477176/detail.aspx?targetUrl=XS" TargetMode="External"/><Relationship Id="rId205" Type="http://schemas.openxmlformats.org/officeDocument/2006/relationships/hyperlink" Target="https://www.wildberries.ru/catalog/76273645/detail.aspx?targetUrl=XS" TargetMode="External"/><Relationship Id="rId226" Type="http://schemas.openxmlformats.org/officeDocument/2006/relationships/hyperlink" Target="https://www.wildberries.ru/catalog/90955459/detail.aspx?targetUrl=XS" TargetMode="External"/><Relationship Id="rId247" Type="http://schemas.openxmlformats.org/officeDocument/2006/relationships/hyperlink" Target="https://www.wildberries.ru/catalog/73735986/detail.aspx?targetUrl=XS" TargetMode="External"/><Relationship Id="rId107" Type="http://schemas.openxmlformats.org/officeDocument/2006/relationships/hyperlink" Target="https://www.wildberries.ru/catalog/57387338/detail.aspx?targetUrl=XS" TargetMode="External"/><Relationship Id="rId268" Type="http://schemas.openxmlformats.org/officeDocument/2006/relationships/hyperlink" Target="https://www.wildberries.ru/catalog/94663335/detail.aspx?targetUrl=XS" TargetMode="External"/><Relationship Id="rId289" Type="http://schemas.openxmlformats.org/officeDocument/2006/relationships/hyperlink" Target="https://www.wildberries.ru/catalog/36246491/detail.aspx?targetUrl=XS" TargetMode="External"/><Relationship Id="rId11" Type="http://schemas.openxmlformats.org/officeDocument/2006/relationships/hyperlink" Target="https://www.wildberries.ru/catalog/93090910/detail.aspx?targetUrl=XS" TargetMode="External"/><Relationship Id="rId32" Type="http://schemas.openxmlformats.org/officeDocument/2006/relationships/hyperlink" Target="https://www.wildberries.ru/catalog/36947607/detail.aspx?targetUrl=XS" TargetMode="External"/><Relationship Id="rId53" Type="http://schemas.openxmlformats.org/officeDocument/2006/relationships/hyperlink" Target="https://www.wildberries.ru/catalog/81871391/detail.aspx?targetUrl=XS" TargetMode="External"/><Relationship Id="rId74" Type="http://schemas.openxmlformats.org/officeDocument/2006/relationships/hyperlink" Target="https://www.wildberries.ru/catalog/91909200/detail.aspx?targetUrl=XS" TargetMode="External"/><Relationship Id="rId128" Type="http://schemas.openxmlformats.org/officeDocument/2006/relationships/hyperlink" Target="https://www.wildberries.ru/catalog/28143729/detail.aspx?targetUrl=XS" TargetMode="External"/><Relationship Id="rId149" Type="http://schemas.openxmlformats.org/officeDocument/2006/relationships/hyperlink" Target="https://www.wildberries.ru/catalog/114538854/detail.aspx?targetUrl=XS" TargetMode="External"/><Relationship Id="rId5" Type="http://schemas.openxmlformats.org/officeDocument/2006/relationships/hyperlink" Target="https://www.wildberries.ru/catalog/57387338/detail.aspx?targetUrl=XS" TargetMode="External"/><Relationship Id="rId95" Type="http://schemas.openxmlformats.org/officeDocument/2006/relationships/hyperlink" Target="https://www.wildberries.ru/catalog/72919047/detail.aspx?targetUrl=XS" TargetMode="External"/><Relationship Id="rId160" Type="http://schemas.openxmlformats.org/officeDocument/2006/relationships/hyperlink" Target="https://www.wildberries.ru/catalog/28693272/detail.aspx?targetUrl=XS" TargetMode="External"/><Relationship Id="rId181" Type="http://schemas.openxmlformats.org/officeDocument/2006/relationships/hyperlink" Target="https://www.wildberries.ru/catalog/97309962/detail.aspx?targetUrl=XS" TargetMode="External"/><Relationship Id="rId216" Type="http://schemas.openxmlformats.org/officeDocument/2006/relationships/hyperlink" Target="https://www.wildberries.ru/catalog/86013175/detail.aspx?targetUrl=XS" TargetMode="External"/><Relationship Id="rId237" Type="http://schemas.openxmlformats.org/officeDocument/2006/relationships/hyperlink" Target="https://www.wildberries.ru/catalog/93627160/detail.aspx?targetUrl=XS" TargetMode="External"/><Relationship Id="rId258" Type="http://schemas.openxmlformats.org/officeDocument/2006/relationships/hyperlink" Target="https://www.wildberries.ru/catalog/94116948/detail.aspx?targetUrl=XS" TargetMode="External"/><Relationship Id="rId279" Type="http://schemas.openxmlformats.org/officeDocument/2006/relationships/hyperlink" Target="https://www.wildberries.ru/catalog/115885789/detail.aspx?targetUrl=XS" TargetMode="External"/><Relationship Id="rId22" Type="http://schemas.openxmlformats.org/officeDocument/2006/relationships/hyperlink" Target="https://www.wildberries.ru/catalog/48441582/detail.aspx?targetUrl=XS" TargetMode="External"/><Relationship Id="rId43" Type="http://schemas.openxmlformats.org/officeDocument/2006/relationships/hyperlink" Target="https://www.wildberries.ru/catalog/114707465/detail.aspx?targetUrl=XS" TargetMode="External"/><Relationship Id="rId64" Type="http://schemas.openxmlformats.org/officeDocument/2006/relationships/hyperlink" Target="https://www.wildberries.ru/catalog/64542540/detail.aspx?targetUrl=XS" TargetMode="External"/><Relationship Id="rId118" Type="http://schemas.openxmlformats.org/officeDocument/2006/relationships/hyperlink" Target="https://www.wildberries.ru/catalog/30086315/detail.aspx?targetUrl=XS" TargetMode="External"/><Relationship Id="rId139" Type="http://schemas.openxmlformats.org/officeDocument/2006/relationships/hyperlink" Target="https://www.wildberries.ru/catalog/73681002/detail.aspx?targetUrl=XS" TargetMode="External"/><Relationship Id="rId290" Type="http://schemas.openxmlformats.org/officeDocument/2006/relationships/hyperlink" Target="https://www.wildberries.ru/catalog/78387700/detail.aspx?targetUrl=XS" TargetMode="External"/><Relationship Id="rId304" Type="http://schemas.openxmlformats.org/officeDocument/2006/relationships/drawing" Target="../drawings/drawing1.xml"/><Relationship Id="rId85" Type="http://schemas.openxmlformats.org/officeDocument/2006/relationships/hyperlink" Target="https://www.wildberries.ru/catalog/69276833/detail.aspx?targetUrl=XS" TargetMode="External"/><Relationship Id="rId150" Type="http://schemas.openxmlformats.org/officeDocument/2006/relationships/hyperlink" Target="https://www.wildberries.ru/catalog/86442896/detail.aspx?targetUrl=XS" TargetMode="External"/><Relationship Id="rId171" Type="http://schemas.openxmlformats.org/officeDocument/2006/relationships/hyperlink" Target="https://www.wildberries.ru/catalog/93100438/detail.aspx?targetUrl=XS" TargetMode="External"/><Relationship Id="rId192" Type="http://schemas.openxmlformats.org/officeDocument/2006/relationships/hyperlink" Target="https://www.wildberries.ru/catalog/43225659/detail.aspx?targetUrl=XS" TargetMode="External"/><Relationship Id="rId206" Type="http://schemas.openxmlformats.org/officeDocument/2006/relationships/hyperlink" Target="https://www.wildberries.ru/catalog/92261793/detail.aspx?targetUrl=XS" TargetMode="External"/><Relationship Id="rId227" Type="http://schemas.openxmlformats.org/officeDocument/2006/relationships/hyperlink" Target="https://www.wildberries.ru/catalog/85419053/detail.aspx?targetUrl=XS" TargetMode="External"/><Relationship Id="rId248" Type="http://schemas.openxmlformats.org/officeDocument/2006/relationships/hyperlink" Target="https://www.wildberries.ru/catalog/92261796/detail.aspx?targetUrl=XS" TargetMode="External"/><Relationship Id="rId269" Type="http://schemas.openxmlformats.org/officeDocument/2006/relationships/hyperlink" Target="https://www.wildberries.ru/catalog/92631909/detail.aspx?targetUrl=XS" TargetMode="External"/><Relationship Id="rId12" Type="http://schemas.openxmlformats.org/officeDocument/2006/relationships/hyperlink" Target="https://www.wildberries.ru/catalog/59757181/detail.aspx?targetUrl=XS" TargetMode="External"/><Relationship Id="rId33" Type="http://schemas.openxmlformats.org/officeDocument/2006/relationships/hyperlink" Target="https://www.wildberries.ru/catalog/43733852/detail.aspx?targetUrl=XS" TargetMode="External"/><Relationship Id="rId108" Type="http://schemas.openxmlformats.org/officeDocument/2006/relationships/hyperlink" Target="https://www.wildberries.ru/catalog/88497511/detail.aspx?targetUrl=XS" TargetMode="External"/><Relationship Id="rId129" Type="http://schemas.openxmlformats.org/officeDocument/2006/relationships/hyperlink" Target="https://www.wildberries.ru/catalog/78149129/detail.aspx?targetUrl=XS" TargetMode="External"/><Relationship Id="rId280" Type="http://schemas.openxmlformats.org/officeDocument/2006/relationships/hyperlink" Target="https://www.wildberries.ru/catalog/73224989/detail.aspx?targetUrl=XS" TargetMode="External"/><Relationship Id="rId54" Type="http://schemas.openxmlformats.org/officeDocument/2006/relationships/hyperlink" Target="https://www.wildberries.ru/catalog/48441583/detail.aspx?targetUrl=XS" TargetMode="External"/><Relationship Id="rId75" Type="http://schemas.openxmlformats.org/officeDocument/2006/relationships/hyperlink" Target="https://www.wildberries.ru/catalog/61939158/detail.aspx?targetUrl=XS" TargetMode="External"/><Relationship Id="rId96" Type="http://schemas.openxmlformats.org/officeDocument/2006/relationships/hyperlink" Target="https://www.wildberries.ru/catalog/38704923/detail.aspx?targetUrl=XS" TargetMode="External"/><Relationship Id="rId140" Type="http://schemas.openxmlformats.org/officeDocument/2006/relationships/hyperlink" Target="https://www.wildberries.ru/catalog/28187833/detail.aspx?targetUrl=XS" TargetMode="External"/><Relationship Id="rId161" Type="http://schemas.openxmlformats.org/officeDocument/2006/relationships/hyperlink" Target="https://www.wildberries.ru/catalog/54810037/detail.aspx?targetUrl=XS" TargetMode="External"/><Relationship Id="rId182" Type="http://schemas.openxmlformats.org/officeDocument/2006/relationships/hyperlink" Target="https://www.wildberries.ru/catalog/64903240/detail.aspx?targetUrl=XS" TargetMode="External"/><Relationship Id="rId217" Type="http://schemas.openxmlformats.org/officeDocument/2006/relationships/hyperlink" Target="https://www.wildberries.ru/catalog/84384002/detail.aspx?targetUrl=XS" TargetMode="External"/><Relationship Id="rId6" Type="http://schemas.openxmlformats.org/officeDocument/2006/relationships/hyperlink" Target="https://www.wildberries.ru/catalog/46510971/detail.aspx?targetUrl=XS" TargetMode="External"/><Relationship Id="rId238" Type="http://schemas.openxmlformats.org/officeDocument/2006/relationships/hyperlink" Target="https://www.wildberries.ru/catalog/75270701/detail.aspx?targetUrl=XS" TargetMode="External"/><Relationship Id="rId259" Type="http://schemas.openxmlformats.org/officeDocument/2006/relationships/hyperlink" Target="https://www.wildberries.ru/catalog/113174992/detail.aspx?targetUrl=XS" TargetMode="External"/><Relationship Id="rId23" Type="http://schemas.openxmlformats.org/officeDocument/2006/relationships/hyperlink" Target="https://www.wildberries.ru/catalog/73681002/detail.aspx?targetUrl=XS" TargetMode="External"/><Relationship Id="rId119" Type="http://schemas.openxmlformats.org/officeDocument/2006/relationships/hyperlink" Target="https://www.wildberries.ru/catalog/59757181/detail.aspx?targetUrl=XS" TargetMode="External"/><Relationship Id="rId270" Type="http://schemas.openxmlformats.org/officeDocument/2006/relationships/hyperlink" Target="https://www.wildberries.ru/catalog/113481149/detail.aspx?targetUrl=XS" TargetMode="External"/><Relationship Id="rId291" Type="http://schemas.openxmlformats.org/officeDocument/2006/relationships/hyperlink" Target="https://www.wildberries.ru/catalog/95900524/detail.aspx?targetUrl=XS" TargetMode="External"/><Relationship Id="rId305" Type="http://schemas.openxmlformats.org/officeDocument/2006/relationships/table" Target="../tables/table1.xml"/><Relationship Id="rId44" Type="http://schemas.openxmlformats.org/officeDocument/2006/relationships/hyperlink" Target="https://www.wildberries.ru/catalog/29331354/detail.aspx?targetUrl=XS" TargetMode="External"/><Relationship Id="rId65" Type="http://schemas.openxmlformats.org/officeDocument/2006/relationships/hyperlink" Target="https://www.wildberries.ru/catalog/113051865/detail.aspx?targetUrl=XS" TargetMode="External"/><Relationship Id="rId86" Type="http://schemas.openxmlformats.org/officeDocument/2006/relationships/hyperlink" Target="https://www.wildberries.ru/catalog/112895572/detail.aspx?targetUrl=XS" TargetMode="External"/><Relationship Id="rId130" Type="http://schemas.openxmlformats.org/officeDocument/2006/relationships/hyperlink" Target="https://www.wildberries.ru/catalog/87298542/detail.aspx?targetUrl=XS" TargetMode="External"/><Relationship Id="rId151" Type="http://schemas.openxmlformats.org/officeDocument/2006/relationships/hyperlink" Target="https://www.wildberries.ru/catalog/28123833/detail.aspx?targetUrl=XS" TargetMode="External"/><Relationship Id="rId172" Type="http://schemas.openxmlformats.org/officeDocument/2006/relationships/hyperlink" Target="https://www.wildberries.ru/catalog/89019790/detail.aspx?targetUrl=XS" TargetMode="External"/><Relationship Id="rId193" Type="http://schemas.openxmlformats.org/officeDocument/2006/relationships/hyperlink" Target="https://www.wildberries.ru/catalog/116508750/detail.aspx?targetUrl=XS" TargetMode="External"/><Relationship Id="rId207" Type="http://schemas.openxmlformats.org/officeDocument/2006/relationships/hyperlink" Target="https://www.wildberries.ru/catalog/85420122/detail.aspx?targetUrl=XS" TargetMode="External"/><Relationship Id="rId228" Type="http://schemas.openxmlformats.org/officeDocument/2006/relationships/hyperlink" Target="https://www.wildberries.ru/catalog/33792844/detail.aspx?targetUrl=XS" TargetMode="External"/><Relationship Id="rId249" Type="http://schemas.openxmlformats.org/officeDocument/2006/relationships/hyperlink" Target="https://www.wildberries.ru/catalog/73224990/detail.aspx?targetUrl=XS" TargetMode="External"/><Relationship Id="rId13" Type="http://schemas.openxmlformats.org/officeDocument/2006/relationships/hyperlink" Target="https://www.wildberries.ru/catalog/53170925/detail.aspx?targetUrl=XS" TargetMode="External"/><Relationship Id="rId109" Type="http://schemas.openxmlformats.org/officeDocument/2006/relationships/hyperlink" Target="https://www.wildberries.ru/catalog/11389836/detail.aspx?targetUrl=XS" TargetMode="External"/><Relationship Id="rId260" Type="http://schemas.openxmlformats.org/officeDocument/2006/relationships/hyperlink" Target="https://www.wildberries.ru/catalog/60702177/detail.aspx?targetUrl=XS" TargetMode="External"/><Relationship Id="rId281" Type="http://schemas.openxmlformats.org/officeDocument/2006/relationships/hyperlink" Target="https://www.wildberries.ru/catalog/90130172/detail.aspx?targetUrl=XS" TargetMode="External"/><Relationship Id="rId34" Type="http://schemas.openxmlformats.org/officeDocument/2006/relationships/hyperlink" Target="https://www.wildberries.ru/catalog/110799066/detail.aspx?targetUrl=XS" TargetMode="External"/><Relationship Id="rId55" Type="http://schemas.openxmlformats.org/officeDocument/2006/relationships/hyperlink" Target="https://www.wildberries.ru/catalog/28220093/detail.aspx?targetUrl=XS" TargetMode="External"/><Relationship Id="rId76" Type="http://schemas.openxmlformats.org/officeDocument/2006/relationships/hyperlink" Target="https://www.wildberries.ru/catalog/110944596/detail.aspx?targetUrl=XS" TargetMode="External"/><Relationship Id="rId97" Type="http://schemas.openxmlformats.org/officeDocument/2006/relationships/hyperlink" Target="https://www.wildberries.ru/catalog/78204782/detail.aspx?targetUrl=XS" TargetMode="External"/><Relationship Id="rId120" Type="http://schemas.openxmlformats.org/officeDocument/2006/relationships/hyperlink" Target="https://www.wildberries.ru/catalog/113466329/detail.aspx?targetUrl=XS" TargetMode="External"/><Relationship Id="rId141" Type="http://schemas.openxmlformats.org/officeDocument/2006/relationships/hyperlink" Target="https://www.wildberries.ru/catalog/26923284/detail.aspx?targetUrl=XS" TargetMode="External"/><Relationship Id="rId7" Type="http://schemas.openxmlformats.org/officeDocument/2006/relationships/hyperlink" Target="https://www.wildberries.ru/catalog/11389836/detail.aspx?targetUrl=XS" TargetMode="External"/><Relationship Id="rId162" Type="http://schemas.openxmlformats.org/officeDocument/2006/relationships/hyperlink" Target="https://www.wildberries.ru/catalog/115550463/detail.aspx?targetUrl=XS" TargetMode="External"/><Relationship Id="rId183" Type="http://schemas.openxmlformats.org/officeDocument/2006/relationships/hyperlink" Target="https://www.wildberries.ru/catalog/91011716/detail.aspx?targetUrl=XS" TargetMode="External"/><Relationship Id="rId218" Type="http://schemas.openxmlformats.org/officeDocument/2006/relationships/hyperlink" Target="https://www.wildberries.ru/catalog/50060711/detail.aspx?targetUrl=XS" TargetMode="External"/><Relationship Id="rId239" Type="http://schemas.openxmlformats.org/officeDocument/2006/relationships/hyperlink" Target="https://www.wildberries.ru/catalog/101326114/detail.aspx?targetUrl=XS" TargetMode="External"/><Relationship Id="rId2" Type="http://schemas.openxmlformats.org/officeDocument/2006/relationships/hyperlink" Target="https://www.wildberries.ru/catalog/113030421/detail.aspx?targetUrl=XS" TargetMode="External"/><Relationship Id="rId29" Type="http://schemas.openxmlformats.org/officeDocument/2006/relationships/hyperlink" Target="https://www.wildberries.ru/catalog/69276707/detail.aspx?targetUrl=XS" TargetMode="External"/><Relationship Id="rId250" Type="http://schemas.openxmlformats.org/officeDocument/2006/relationships/hyperlink" Target="https://www.wildberries.ru/catalog/90639667/detail.aspx?targetUrl=XS" TargetMode="External"/><Relationship Id="rId255" Type="http://schemas.openxmlformats.org/officeDocument/2006/relationships/hyperlink" Target="https://www.wildberries.ru/catalog/92484827/detail.aspx?targetUrl=XS" TargetMode="External"/><Relationship Id="rId271" Type="http://schemas.openxmlformats.org/officeDocument/2006/relationships/hyperlink" Target="https://www.wildberries.ru/catalog/48556740/detail.aspx?targetUrl=XS" TargetMode="External"/><Relationship Id="rId276" Type="http://schemas.openxmlformats.org/officeDocument/2006/relationships/hyperlink" Target="https://www.wildberries.ru/catalog/48556739/detail.aspx?targetUrl=XS" TargetMode="External"/><Relationship Id="rId292" Type="http://schemas.openxmlformats.org/officeDocument/2006/relationships/hyperlink" Target="https://www.wildberries.ru/catalog/102143255/detail.aspx?targetUrl=XS" TargetMode="External"/><Relationship Id="rId297" Type="http://schemas.openxmlformats.org/officeDocument/2006/relationships/hyperlink" Target="https://www.wildberries.ru/catalog/94721604/detail.aspx?targetUrl=XS" TargetMode="External"/><Relationship Id="rId24" Type="http://schemas.openxmlformats.org/officeDocument/2006/relationships/hyperlink" Target="https://www.wildberries.ru/catalog/114689808/detail.aspx?targetUrl=XS" TargetMode="External"/><Relationship Id="rId40" Type="http://schemas.openxmlformats.org/officeDocument/2006/relationships/hyperlink" Target="https://www.wildberries.ru/catalog/110374103/detail.aspx?targetUrl=XS" TargetMode="External"/><Relationship Id="rId45" Type="http://schemas.openxmlformats.org/officeDocument/2006/relationships/hyperlink" Target="https://www.wildberries.ru/catalog/59209935/detail.aspx?targetUrl=XS" TargetMode="External"/><Relationship Id="rId66" Type="http://schemas.openxmlformats.org/officeDocument/2006/relationships/hyperlink" Target="https://www.wildberries.ru/catalog/46702249/detail.aspx?targetUrl=XS" TargetMode="External"/><Relationship Id="rId87" Type="http://schemas.openxmlformats.org/officeDocument/2006/relationships/hyperlink" Target="https://www.wildberries.ru/catalog/114411464/detail.aspx?targetUrl=XS" TargetMode="External"/><Relationship Id="rId110" Type="http://schemas.openxmlformats.org/officeDocument/2006/relationships/hyperlink" Target="https://www.wildberries.ru/catalog/46510971/detail.aspx?targetUrl=XS" TargetMode="External"/><Relationship Id="rId115" Type="http://schemas.openxmlformats.org/officeDocument/2006/relationships/hyperlink" Target="https://www.wildberries.ru/catalog/93080746/detail.aspx?targetUrl=XS" TargetMode="External"/><Relationship Id="rId131" Type="http://schemas.openxmlformats.org/officeDocument/2006/relationships/hyperlink" Target="https://www.wildberries.ru/catalog/65018504/detail.aspx?targetUrl=XS" TargetMode="External"/><Relationship Id="rId136" Type="http://schemas.openxmlformats.org/officeDocument/2006/relationships/hyperlink" Target="https://www.wildberries.ru/catalog/85809708/detail.aspx?targetUrl=XS" TargetMode="External"/><Relationship Id="rId157" Type="http://schemas.openxmlformats.org/officeDocument/2006/relationships/hyperlink" Target="https://www.wildberries.ru/catalog/110944596/detail.aspx?targetUrl=XS" TargetMode="External"/><Relationship Id="rId178" Type="http://schemas.openxmlformats.org/officeDocument/2006/relationships/hyperlink" Target="https://www.wildberries.ru/catalog/61939159/detail.aspx?targetUrl=XS" TargetMode="External"/><Relationship Id="rId301" Type="http://schemas.openxmlformats.org/officeDocument/2006/relationships/hyperlink" Target="https://www.wildberries.ru/catalog/110546873/detail.aspx?targetUrl=XS" TargetMode="External"/><Relationship Id="rId61" Type="http://schemas.openxmlformats.org/officeDocument/2006/relationships/hyperlink" Target="https://www.wildberries.ru/catalog/92336650/detail.aspx?targetUrl=XS" TargetMode="External"/><Relationship Id="rId82" Type="http://schemas.openxmlformats.org/officeDocument/2006/relationships/hyperlink" Target="https://www.wildberries.ru/catalog/97542865/detail.aspx?targetUrl=XS" TargetMode="External"/><Relationship Id="rId152" Type="http://schemas.openxmlformats.org/officeDocument/2006/relationships/hyperlink" Target="https://www.wildberries.ru/catalog/34006359/detail.aspx?targetUrl=XS" TargetMode="External"/><Relationship Id="rId173" Type="http://schemas.openxmlformats.org/officeDocument/2006/relationships/hyperlink" Target="https://www.wildberries.ru/catalog/12456827/detail.aspx?targetUrl=XS" TargetMode="External"/><Relationship Id="rId194" Type="http://schemas.openxmlformats.org/officeDocument/2006/relationships/hyperlink" Target="https://www.wildberries.ru/catalog/74817077/detail.aspx?targetUrl=XS" TargetMode="External"/><Relationship Id="rId199" Type="http://schemas.openxmlformats.org/officeDocument/2006/relationships/hyperlink" Target="https://www.wildberries.ru/catalog/120197503/detail.aspx?targetUrl=XS" TargetMode="External"/><Relationship Id="rId203" Type="http://schemas.openxmlformats.org/officeDocument/2006/relationships/hyperlink" Target="https://www.wildberries.ru/catalog/86806442/detail.aspx?targetUrl=XS" TargetMode="External"/><Relationship Id="rId208" Type="http://schemas.openxmlformats.org/officeDocument/2006/relationships/hyperlink" Target="https://www.wildberries.ru/catalog/50060710/detail.aspx?targetUrl=XS" TargetMode="External"/><Relationship Id="rId229" Type="http://schemas.openxmlformats.org/officeDocument/2006/relationships/hyperlink" Target="https://www.wildberries.ru/catalog/92261792/detail.aspx?targetUrl=XS" TargetMode="External"/><Relationship Id="rId19" Type="http://schemas.openxmlformats.org/officeDocument/2006/relationships/hyperlink" Target="https://www.wildberries.ru/catalog/37350731/detail.aspx?targetUrl=XS" TargetMode="External"/><Relationship Id="rId224" Type="http://schemas.openxmlformats.org/officeDocument/2006/relationships/hyperlink" Target="https://www.wildberries.ru/catalog/93056048/detail.aspx?targetUrl=XS" TargetMode="External"/><Relationship Id="rId240" Type="http://schemas.openxmlformats.org/officeDocument/2006/relationships/hyperlink" Target="https://www.wildberries.ru/catalog/76587039/detail.aspx?targetUrl=XS" TargetMode="External"/><Relationship Id="rId245" Type="http://schemas.openxmlformats.org/officeDocument/2006/relationships/hyperlink" Target="https://www.wildberries.ru/catalog/86473008/detail.aspx?targetUrl=XS" TargetMode="External"/><Relationship Id="rId261" Type="http://schemas.openxmlformats.org/officeDocument/2006/relationships/hyperlink" Target="https://www.wildberries.ru/catalog/28655500/detail.aspx?targetUrl=XS" TargetMode="External"/><Relationship Id="rId266" Type="http://schemas.openxmlformats.org/officeDocument/2006/relationships/hyperlink" Target="https://www.wildberries.ru/catalog/49758344/detail.aspx?targetUrl=XS" TargetMode="External"/><Relationship Id="rId287" Type="http://schemas.openxmlformats.org/officeDocument/2006/relationships/hyperlink" Target="https://www.wildberries.ru/catalog/100343274/detail.aspx?targetUrl=XS" TargetMode="External"/><Relationship Id="rId14" Type="http://schemas.openxmlformats.org/officeDocument/2006/relationships/hyperlink" Target="https://www.wildberries.ru/catalog/113466329/detail.aspx?targetUrl=XS" TargetMode="External"/><Relationship Id="rId30" Type="http://schemas.openxmlformats.org/officeDocument/2006/relationships/hyperlink" Target="https://www.wildberries.ru/catalog/28187833/detail.aspx?targetUrl=XS" TargetMode="External"/><Relationship Id="rId35" Type="http://schemas.openxmlformats.org/officeDocument/2006/relationships/hyperlink" Target="https://www.wildberries.ru/catalog/26923284/detail.aspx?targetUrl=XS" TargetMode="External"/><Relationship Id="rId56" Type="http://schemas.openxmlformats.org/officeDocument/2006/relationships/hyperlink" Target="https://www.wildberries.ru/catalog/114974076/detail.aspx?targetUrl=XS" TargetMode="External"/><Relationship Id="rId77" Type="http://schemas.openxmlformats.org/officeDocument/2006/relationships/hyperlink" Target="https://www.wildberries.ru/catalog/114538854/detail.aspx?targetUrl=XS" TargetMode="External"/><Relationship Id="rId100" Type="http://schemas.openxmlformats.org/officeDocument/2006/relationships/hyperlink" Target="https://www.wildberries.ru/catalog/88830381/detail.aspx?targetUrl=XS" TargetMode="External"/><Relationship Id="rId105" Type="http://schemas.openxmlformats.org/officeDocument/2006/relationships/hyperlink" Target="https://www.wildberries.ru/catalog/45156459/detail.aspx?targetUrl=XS" TargetMode="External"/><Relationship Id="rId126" Type="http://schemas.openxmlformats.org/officeDocument/2006/relationships/hyperlink" Target="https://www.wildberries.ru/catalog/37350731/detail.aspx?targetUrl=XS" TargetMode="External"/><Relationship Id="rId147" Type="http://schemas.openxmlformats.org/officeDocument/2006/relationships/hyperlink" Target="https://www.wildberries.ru/catalog/46681969/detail.aspx?targetUrl=XS" TargetMode="External"/><Relationship Id="rId168" Type="http://schemas.openxmlformats.org/officeDocument/2006/relationships/hyperlink" Target="https://www.wildberries.ru/catalog/28149381/detail.aspx?targetUrl=XS" TargetMode="External"/><Relationship Id="rId282" Type="http://schemas.openxmlformats.org/officeDocument/2006/relationships/hyperlink" Target="https://www.wildberries.ru/catalog/96488267/detail.aspx?targetUrl=XS" TargetMode="External"/><Relationship Id="rId8" Type="http://schemas.openxmlformats.org/officeDocument/2006/relationships/hyperlink" Target="https://www.wildberries.ru/catalog/85469295/detail.aspx?targetUrl=XS" TargetMode="External"/><Relationship Id="rId51" Type="http://schemas.openxmlformats.org/officeDocument/2006/relationships/hyperlink" Target="https://www.wildberries.ru/catalog/94117903/detail.aspx?targetUrl=XS" TargetMode="External"/><Relationship Id="rId72" Type="http://schemas.openxmlformats.org/officeDocument/2006/relationships/hyperlink" Target="https://www.wildberries.ru/catalog/50132689/detail.aspx?targetUrl=XS" TargetMode="External"/><Relationship Id="rId93" Type="http://schemas.openxmlformats.org/officeDocument/2006/relationships/hyperlink" Target="https://www.wildberries.ru/catalog/95984752/detail.aspx?targetUrl=XS" TargetMode="External"/><Relationship Id="rId98" Type="http://schemas.openxmlformats.org/officeDocument/2006/relationships/hyperlink" Target="https://www.wildberries.ru/catalog/41476174/detail.aspx?targetUrl=XS" TargetMode="External"/><Relationship Id="rId121" Type="http://schemas.openxmlformats.org/officeDocument/2006/relationships/hyperlink" Target="https://www.wildberries.ru/catalog/53170925/detail.aspx?targetUrl=XS" TargetMode="External"/><Relationship Id="rId142" Type="http://schemas.openxmlformats.org/officeDocument/2006/relationships/hyperlink" Target="https://www.wildberries.ru/catalog/115550464/detail.aspx?targetUrl=XS" TargetMode="External"/><Relationship Id="rId163" Type="http://schemas.openxmlformats.org/officeDocument/2006/relationships/hyperlink" Target="https://www.wildberries.ru/catalog/29331354/detail.aspx?targetUrl=XS" TargetMode="External"/><Relationship Id="rId184" Type="http://schemas.openxmlformats.org/officeDocument/2006/relationships/hyperlink" Target="https://www.wildberries.ru/catalog/112981272/detail.aspx?targetUrl=XS" TargetMode="External"/><Relationship Id="rId189" Type="http://schemas.openxmlformats.org/officeDocument/2006/relationships/hyperlink" Target="https://www.wildberries.ru/catalog/47967636/detail.aspx?targetUrl=XS" TargetMode="External"/><Relationship Id="rId219" Type="http://schemas.openxmlformats.org/officeDocument/2006/relationships/hyperlink" Target="https://www.wildberries.ru/catalog/94774603/detail.aspx?targetUrl=XS" TargetMode="External"/><Relationship Id="rId3" Type="http://schemas.openxmlformats.org/officeDocument/2006/relationships/hyperlink" Target="https://www.wildberries.ru/catalog/45156459/detail.aspx?targetUrl=XS" TargetMode="External"/><Relationship Id="rId214" Type="http://schemas.openxmlformats.org/officeDocument/2006/relationships/hyperlink" Target="https://www.wildberries.ru/catalog/78988984/detail.aspx?targetUrl=XS" TargetMode="External"/><Relationship Id="rId230" Type="http://schemas.openxmlformats.org/officeDocument/2006/relationships/hyperlink" Target="https://www.wildberries.ru/catalog/15579576/detail.aspx?targetUrl=XS" TargetMode="External"/><Relationship Id="rId235" Type="http://schemas.openxmlformats.org/officeDocument/2006/relationships/hyperlink" Target="https://www.wildberries.ru/catalog/86013174/detail.aspx?targetUrl=XS" TargetMode="External"/><Relationship Id="rId251" Type="http://schemas.openxmlformats.org/officeDocument/2006/relationships/hyperlink" Target="https://www.wildberries.ru/catalog/93627422/detail.aspx?targetUrl=XS" TargetMode="External"/><Relationship Id="rId256" Type="http://schemas.openxmlformats.org/officeDocument/2006/relationships/hyperlink" Target="https://www.wildberries.ru/catalog/92092497/detail.aspx?targetUrl=XS" TargetMode="External"/><Relationship Id="rId277" Type="http://schemas.openxmlformats.org/officeDocument/2006/relationships/hyperlink" Target="https://www.wildberries.ru/catalog/76302958/detail.aspx?targetUrl=XS" TargetMode="External"/><Relationship Id="rId298" Type="http://schemas.openxmlformats.org/officeDocument/2006/relationships/hyperlink" Target="https://www.wildberries.ru/catalog/99058612/detail.aspx?targetUrl=XS" TargetMode="External"/><Relationship Id="rId25" Type="http://schemas.openxmlformats.org/officeDocument/2006/relationships/hyperlink" Target="https://www.wildberries.ru/catalog/29323413/detail.aspx?targetUrl=XS" TargetMode="External"/><Relationship Id="rId46" Type="http://schemas.openxmlformats.org/officeDocument/2006/relationships/hyperlink" Target="https://www.wildberries.ru/catalog/86442896/detail.aspx?targetUrl=XS" TargetMode="External"/><Relationship Id="rId67" Type="http://schemas.openxmlformats.org/officeDocument/2006/relationships/hyperlink" Target="https://www.wildberries.ru/catalog/120925307/detail.aspx?targetUrl=XS" TargetMode="External"/><Relationship Id="rId116" Type="http://schemas.openxmlformats.org/officeDocument/2006/relationships/hyperlink" Target="https://www.wildberries.ru/catalog/110727287/detail.aspx?targetUrl=XS" TargetMode="External"/><Relationship Id="rId137" Type="http://schemas.openxmlformats.org/officeDocument/2006/relationships/hyperlink" Target="https://www.wildberries.ru/catalog/114610359/detail.aspx?targetUrl=XS" TargetMode="External"/><Relationship Id="rId158" Type="http://schemas.openxmlformats.org/officeDocument/2006/relationships/hyperlink" Target="https://www.wildberries.ru/catalog/59209935/detail.aspx?targetUrl=XS" TargetMode="External"/><Relationship Id="rId272" Type="http://schemas.openxmlformats.org/officeDocument/2006/relationships/hyperlink" Target="https://www.wildberries.ru/catalog/75414804/detail.aspx?targetUrl=XS" TargetMode="External"/><Relationship Id="rId293" Type="http://schemas.openxmlformats.org/officeDocument/2006/relationships/hyperlink" Target="https://www.wildberries.ru/catalog/102565278/detail.aspx?targetUrl=XS" TargetMode="External"/><Relationship Id="rId302" Type="http://schemas.openxmlformats.org/officeDocument/2006/relationships/hyperlink" Target="https://www.wildberries.ru/catalog/79068550/detail.aspx?targetUrl=XS" TargetMode="External"/><Relationship Id="rId20" Type="http://schemas.openxmlformats.org/officeDocument/2006/relationships/hyperlink" Target="https://www.wildberries.ru/catalog/65018504/detail.aspx?targetUrl=XS" TargetMode="External"/><Relationship Id="rId41" Type="http://schemas.openxmlformats.org/officeDocument/2006/relationships/hyperlink" Target="https://www.wildberries.ru/catalog/93100438/detail.aspx?targetUrl=XS" TargetMode="External"/><Relationship Id="rId62" Type="http://schemas.openxmlformats.org/officeDocument/2006/relationships/hyperlink" Target="https://www.wildberries.ru/catalog/25847559/detail.aspx?targetUrl=XS" TargetMode="External"/><Relationship Id="rId83" Type="http://schemas.openxmlformats.org/officeDocument/2006/relationships/hyperlink" Target="https://www.wildberries.ru/catalog/76334713/detail.aspx?targetUrl=XS" TargetMode="External"/><Relationship Id="rId88" Type="http://schemas.openxmlformats.org/officeDocument/2006/relationships/hyperlink" Target="https://www.wildberries.ru/catalog/78482453/detail.aspx?targetUrl=XS" TargetMode="External"/><Relationship Id="rId111" Type="http://schemas.openxmlformats.org/officeDocument/2006/relationships/hyperlink" Target="https://www.wildberries.ru/catalog/70736710/detail.aspx?targetUrl=XS" TargetMode="External"/><Relationship Id="rId132" Type="http://schemas.openxmlformats.org/officeDocument/2006/relationships/hyperlink" Target="https://www.wildberries.ru/catalog/110799066/detail.aspx?targetUrl=XS" TargetMode="External"/><Relationship Id="rId153" Type="http://schemas.openxmlformats.org/officeDocument/2006/relationships/hyperlink" Target="https://www.wildberries.ru/catalog/78204782/detail.aspx?targetUrl=XS" TargetMode="External"/><Relationship Id="rId174" Type="http://schemas.openxmlformats.org/officeDocument/2006/relationships/hyperlink" Target="https://www.wildberries.ru/catalog/54810038/detail.aspx?targetUrl=XS" TargetMode="External"/><Relationship Id="rId179" Type="http://schemas.openxmlformats.org/officeDocument/2006/relationships/hyperlink" Target="https://www.wildberries.ru/catalog/114974076/detail.aspx?targetUrl=XS" TargetMode="External"/><Relationship Id="rId195" Type="http://schemas.openxmlformats.org/officeDocument/2006/relationships/hyperlink" Target="https://www.wildberries.ru/catalog/112506967/detail.aspx?targetUrl=XS" TargetMode="External"/><Relationship Id="rId209" Type="http://schemas.openxmlformats.org/officeDocument/2006/relationships/hyperlink" Target="https://www.wildberries.ru/catalog/92134665/detail.aspx?targetUrl=XS" TargetMode="External"/><Relationship Id="rId190" Type="http://schemas.openxmlformats.org/officeDocument/2006/relationships/hyperlink" Target="https://www.wildberries.ru/catalog/50194734/detail.aspx?targetUrl=XS" TargetMode="External"/><Relationship Id="rId204" Type="http://schemas.openxmlformats.org/officeDocument/2006/relationships/hyperlink" Target="https://www.wildberries.ru/catalog/88594353/detail.aspx?targetUrl=XS" TargetMode="External"/><Relationship Id="rId220" Type="http://schemas.openxmlformats.org/officeDocument/2006/relationships/hyperlink" Target="https://www.wildberries.ru/catalog/84622769/detail.aspx?targetUrl=XS" TargetMode="External"/><Relationship Id="rId225" Type="http://schemas.openxmlformats.org/officeDocument/2006/relationships/hyperlink" Target="https://www.wildberries.ru/catalog/86013176/detail.aspx?targetUrl=XS" TargetMode="External"/><Relationship Id="rId241" Type="http://schemas.openxmlformats.org/officeDocument/2006/relationships/hyperlink" Target="https://www.wildberries.ru/catalog/91020846/detail.aspx?targetUrl=XS" TargetMode="External"/><Relationship Id="rId246" Type="http://schemas.openxmlformats.org/officeDocument/2006/relationships/hyperlink" Target="https://www.wildberries.ru/catalog/61147107/detail.aspx?targetUrl=XS" TargetMode="External"/><Relationship Id="rId267" Type="http://schemas.openxmlformats.org/officeDocument/2006/relationships/hyperlink" Target="https://www.wildberries.ru/catalog/114340422/detail.aspx?targetUrl=XS" TargetMode="External"/><Relationship Id="rId288" Type="http://schemas.openxmlformats.org/officeDocument/2006/relationships/hyperlink" Target="https://www.wildberries.ru/catalog/48554042/detail.aspx?targetUrl=XS" TargetMode="External"/><Relationship Id="rId15" Type="http://schemas.openxmlformats.org/officeDocument/2006/relationships/hyperlink" Target="https://www.wildberries.ru/catalog/101242784/detail.aspx?targetUrl=XS" TargetMode="External"/><Relationship Id="rId36" Type="http://schemas.openxmlformats.org/officeDocument/2006/relationships/hyperlink" Target="https://www.wildberries.ru/catalog/46681969/detail.aspx?targetUrl=XS" TargetMode="External"/><Relationship Id="rId57" Type="http://schemas.openxmlformats.org/officeDocument/2006/relationships/hyperlink" Target="https://www.wildberries.ru/catalog/96121920/detail.aspx?targetUrl=XS" TargetMode="External"/><Relationship Id="rId106" Type="http://schemas.openxmlformats.org/officeDocument/2006/relationships/hyperlink" Target="https://www.wildberries.ru/catalog/55263417/detail.aspx?targetUrl=XS" TargetMode="External"/><Relationship Id="rId127" Type="http://schemas.openxmlformats.org/officeDocument/2006/relationships/hyperlink" Target="https://www.wildberries.ru/catalog/36947607/detail.aspx?targetUrl=XS" TargetMode="External"/><Relationship Id="rId262" Type="http://schemas.openxmlformats.org/officeDocument/2006/relationships/hyperlink" Target="https://www.wildberries.ru/catalog/94521475/detail.aspx?targetUrl=XS" TargetMode="External"/><Relationship Id="rId283" Type="http://schemas.openxmlformats.org/officeDocument/2006/relationships/hyperlink" Target="https://www.wildberries.ru/catalog/115608934/detail.aspx?targetUrl=XS" TargetMode="External"/><Relationship Id="rId10" Type="http://schemas.openxmlformats.org/officeDocument/2006/relationships/hyperlink" Target="https://www.wildberries.ru/catalog/30086315/detail.aspx?targetUrl=XS" TargetMode="External"/><Relationship Id="rId31" Type="http://schemas.openxmlformats.org/officeDocument/2006/relationships/hyperlink" Target="https://www.wildberries.ru/catalog/114610359/detail.aspx?targetUrl=XS" TargetMode="External"/><Relationship Id="rId52" Type="http://schemas.openxmlformats.org/officeDocument/2006/relationships/hyperlink" Target="https://www.wildberries.ru/catalog/77856040/detail.aspx?targetUrl=XS" TargetMode="External"/><Relationship Id="rId73" Type="http://schemas.openxmlformats.org/officeDocument/2006/relationships/hyperlink" Target="https://www.wildberries.ru/catalog/52772208/detail.aspx?targetUrl=XS" TargetMode="External"/><Relationship Id="rId78" Type="http://schemas.openxmlformats.org/officeDocument/2006/relationships/hyperlink" Target="https://www.wildberries.ru/catalog/116508750/detail.aspx?targetUrl=XS" TargetMode="External"/><Relationship Id="rId94" Type="http://schemas.openxmlformats.org/officeDocument/2006/relationships/hyperlink" Target="https://www.wildberries.ru/catalog/39273992/detail.aspx?targetUrl=XS" TargetMode="External"/><Relationship Id="rId99" Type="http://schemas.openxmlformats.org/officeDocument/2006/relationships/hyperlink" Target="https://www.wildberries.ru/catalog/114797508/detail.aspx?targetUrl=XS" TargetMode="External"/><Relationship Id="rId101" Type="http://schemas.openxmlformats.org/officeDocument/2006/relationships/hyperlink" Target="https://www.wildberries.ru/catalog/29971886/detail.aspx?targetUrl=XS" TargetMode="External"/><Relationship Id="rId122" Type="http://schemas.openxmlformats.org/officeDocument/2006/relationships/hyperlink" Target="https://www.wildberries.ru/catalog/55127874/detail.aspx?targetUrl=XS" TargetMode="External"/><Relationship Id="rId143" Type="http://schemas.openxmlformats.org/officeDocument/2006/relationships/hyperlink" Target="https://www.wildberries.ru/catalog/97947019/detail.aspx?targetUrl=XS" TargetMode="External"/><Relationship Id="rId148" Type="http://schemas.openxmlformats.org/officeDocument/2006/relationships/hyperlink" Target="https://www.wildberries.ru/catalog/43733852/detail.aspx?targetUrl=XS" TargetMode="External"/><Relationship Id="rId164" Type="http://schemas.openxmlformats.org/officeDocument/2006/relationships/hyperlink" Target="https://www.wildberries.ru/catalog/120925307/detail.aspx?targetUrl=XS" TargetMode="External"/><Relationship Id="rId169" Type="http://schemas.openxmlformats.org/officeDocument/2006/relationships/hyperlink" Target="https://www.wildberries.ru/catalog/113199458/detail.aspx?targetUrl=XS" TargetMode="External"/><Relationship Id="rId185" Type="http://schemas.openxmlformats.org/officeDocument/2006/relationships/hyperlink" Target="https://www.wildberries.ru/catalog/64542540/detail.aspx?targetUrl=XS" TargetMode="External"/><Relationship Id="rId4" Type="http://schemas.openxmlformats.org/officeDocument/2006/relationships/hyperlink" Target="https://www.wildberries.ru/catalog/55263417/detail.aspx?targetUrl=XS" TargetMode="External"/><Relationship Id="rId9" Type="http://schemas.openxmlformats.org/officeDocument/2006/relationships/hyperlink" Target="https://www.wildberries.ru/catalog/88497511/detail.aspx?targetUrl=XS" TargetMode="External"/><Relationship Id="rId180" Type="http://schemas.openxmlformats.org/officeDocument/2006/relationships/hyperlink" Target="https://www.wildberries.ru/catalog/113030421/detail.aspx?targetUrl=XS" TargetMode="External"/><Relationship Id="rId210" Type="http://schemas.openxmlformats.org/officeDocument/2006/relationships/hyperlink" Target="https://www.wildberries.ru/catalog/86013178/detail.aspx?targetUrl=XS" TargetMode="External"/><Relationship Id="rId215" Type="http://schemas.openxmlformats.org/officeDocument/2006/relationships/hyperlink" Target="https://www.wildberries.ru/catalog/81298004/detail.aspx?targetUrl=XS" TargetMode="External"/><Relationship Id="rId236" Type="http://schemas.openxmlformats.org/officeDocument/2006/relationships/hyperlink" Target="https://www.wildberries.ru/catalog/111000404/detail.aspx?targetUrl=XS" TargetMode="External"/><Relationship Id="rId257" Type="http://schemas.openxmlformats.org/officeDocument/2006/relationships/hyperlink" Target="https://www.wildberries.ru/catalog/66270631/detail.aspx?targetUrl=XS" TargetMode="External"/><Relationship Id="rId278" Type="http://schemas.openxmlformats.org/officeDocument/2006/relationships/hyperlink" Target="https://www.wildberries.ru/catalog/115885635/detail.aspx?targetUrl=XS" TargetMode="External"/><Relationship Id="rId26" Type="http://schemas.openxmlformats.org/officeDocument/2006/relationships/hyperlink" Target="https://www.wildberries.ru/catalog/93080746/detail.aspx?targetUrl=XS" TargetMode="External"/><Relationship Id="rId231" Type="http://schemas.openxmlformats.org/officeDocument/2006/relationships/hyperlink" Target="https://www.wildberries.ru/catalog/88506735/detail.aspx?targetUrl=XS" TargetMode="External"/><Relationship Id="rId252" Type="http://schemas.openxmlformats.org/officeDocument/2006/relationships/hyperlink" Target="https://www.wildberries.ru/catalog/35567892/detail.aspx?targetUrl=XS" TargetMode="External"/><Relationship Id="rId273" Type="http://schemas.openxmlformats.org/officeDocument/2006/relationships/hyperlink" Target="https://www.wildberries.ru/catalog/36666633/detail.aspx?targetUrl=XS" TargetMode="External"/><Relationship Id="rId294" Type="http://schemas.openxmlformats.org/officeDocument/2006/relationships/hyperlink" Target="https://www.wildberries.ru/catalog/81707561/detail.aspx?targetUrl=XS" TargetMode="External"/><Relationship Id="rId47" Type="http://schemas.openxmlformats.org/officeDocument/2006/relationships/hyperlink" Target="https://www.wildberries.ru/catalog/28149381/detail.aspx?targetUrl=XS" TargetMode="External"/><Relationship Id="rId68" Type="http://schemas.openxmlformats.org/officeDocument/2006/relationships/hyperlink" Target="https://www.wildberries.ru/catalog/95629505/detail.aspx?targetUrl=XS" TargetMode="External"/><Relationship Id="rId89" Type="http://schemas.openxmlformats.org/officeDocument/2006/relationships/hyperlink" Target="https://www.wildberries.ru/catalog/61939159/detail.aspx?targetUrl=XS" TargetMode="External"/><Relationship Id="rId112" Type="http://schemas.openxmlformats.org/officeDocument/2006/relationships/hyperlink" Target="https://www.wildberries.ru/catalog/99304725/detail.aspx?targetUrl=XS" TargetMode="External"/><Relationship Id="rId133" Type="http://schemas.openxmlformats.org/officeDocument/2006/relationships/hyperlink" Target="https://www.wildberries.ru/catalog/29323413/detail.aspx?targetUrl=XS" TargetMode="External"/><Relationship Id="rId154" Type="http://schemas.openxmlformats.org/officeDocument/2006/relationships/hyperlink" Target="https://www.wildberries.ru/catalog/78155620/detail.aspx?targetUrl=XS" TargetMode="External"/><Relationship Id="rId175" Type="http://schemas.openxmlformats.org/officeDocument/2006/relationships/hyperlink" Target="https://www.wildberries.ru/catalog/95325830/detail.aspx?targetUrl=XS" TargetMode="External"/><Relationship Id="rId196" Type="http://schemas.openxmlformats.org/officeDocument/2006/relationships/hyperlink" Target="https://www.wildberries.ru/catalog/120930298/detail.aspx?targetUrl=XS" TargetMode="External"/><Relationship Id="rId200" Type="http://schemas.openxmlformats.org/officeDocument/2006/relationships/hyperlink" Target="https://www.wildberries.ru/catalog/39273992/detail.aspx?targetUrl=XS" TargetMode="External"/><Relationship Id="rId16" Type="http://schemas.openxmlformats.org/officeDocument/2006/relationships/hyperlink" Target="https://www.wildberries.ru/catalog/99304725/detail.aspx?targetUrl=XS" TargetMode="External"/><Relationship Id="rId221" Type="http://schemas.openxmlformats.org/officeDocument/2006/relationships/hyperlink" Target="https://www.wildberries.ru/catalog/50060712/detail.aspx?targetUrl=XS" TargetMode="External"/><Relationship Id="rId242" Type="http://schemas.openxmlformats.org/officeDocument/2006/relationships/hyperlink" Target="https://www.wildberries.ru/catalog/92134664/detail.aspx?targetUrl=XS" TargetMode="External"/><Relationship Id="rId263" Type="http://schemas.openxmlformats.org/officeDocument/2006/relationships/hyperlink" Target="https://www.wildberries.ru/catalog/39149126/detail.aspx?targetUrl=XS" TargetMode="External"/><Relationship Id="rId284" Type="http://schemas.openxmlformats.org/officeDocument/2006/relationships/hyperlink" Target="https://www.wildberries.ru/catalog/115884592/detail.aspx?targetUrl=XS" TargetMode="External"/><Relationship Id="rId37" Type="http://schemas.openxmlformats.org/officeDocument/2006/relationships/hyperlink" Target="https://www.wildberries.ru/catalog/55127874/detail.aspx?targetUrl=XS" TargetMode="External"/><Relationship Id="rId58" Type="http://schemas.openxmlformats.org/officeDocument/2006/relationships/hyperlink" Target="https://www.wildberries.ru/catalog/115923026/detail.aspx?targetUrl=XS" TargetMode="External"/><Relationship Id="rId79" Type="http://schemas.openxmlformats.org/officeDocument/2006/relationships/hyperlink" Target="https://www.wildberries.ru/catalog/86724228/detail.aspx?targetUrl=XS" TargetMode="External"/><Relationship Id="rId102" Type="http://schemas.openxmlformats.org/officeDocument/2006/relationships/hyperlink" Target="https://www.wildberries.ru/catalog/61939157/detail.aspx?targetUrl=XS" TargetMode="External"/><Relationship Id="rId123" Type="http://schemas.openxmlformats.org/officeDocument/2006/relationships/hyperlink" Target="https://www.wildberries.ru/catalog/86901496/detail.aspx?targetUrl=XS" TargetMode="External"/><Relationship Id="rId144" Type="http://schemas.openxmlformats.org/officeDocument/2006/relationships/hyperlink" Target="https://www.wildberries.ru/catalog/53597648/detail.aspx?targetUrl=XS" TargetMode="External"/><Relationship Id="rId90" Type="http://schemas.openxmlformats.org/officeDocument/2006/relationships/hyperlink" Target="https://www.wildberries.ru/catalog/12456827/detail.aspx?targetUrl=XS" TargetMode="External"/><Relationship Id="rId165" Type="http://schemas.openxmlformats.org/officeDocument/2006/relationships/hyperlink" Target="https://www.wildberries.ru/catalog/63755756/detail.aspx?targetUrl=XS" TargetMode="External"/><Relationship Id="rId186" Type="http://schemas.openxmlformats.org/officeDocument/2006/relationships/hyperlink" Target="https://www.wildberries.ru/catalog/116547235/detail.aspx?targetUrl=XS" TargetMode="External"/><Relationship Id="rId211" Type="http://schemas.openxmlformats.org/officeDocument/2006/relationships/hyperlink" Target="https://www.wildberries.ru/catalog/74270461/detail.aspx?targetUrl=XS" TargetMode="External"/><Relationship Id="rId232" Type="http://schemas.openxmlformats.org/officeDocument/2006/relationships/hyperlink" Target="https://www.wildberries.ru/catalog/113996798/detail.aspx?targetUrl=XS" TargetMode="External"/><Relationship Id="rId253" Type="http://schemas.openxmlformats.org/officeDocument/2006/relationships/hyperlink" Target="https://www.wildberries.ru/catalog/90083731/detail.aspx?targetUrl=XS" TargetMode="External"/><Relationship Id="rId274" Type="http://schemas.openxmlformats.org/officeDocument/2006/relationships/hyperlink" Target="https://www.wildberries.ru/catalog/79015908/detail.aspx?targetUrl=XS" TargetMode="External"/><Relationship Id="rId295" Type="http://schemas.openxmlformats.org/officeDocument/2006/relationships/hyperlink" Target="https://www.wildberries.ru/catalog/95041843/detail.aspx?targetUrl=XS" TargetMode="External"/><Relationship Id="rId27" Type="http://schemas.openxmlformats.org/officeDocument/2006/relationships/hyperlink" Target="https://www.wildberries.ru/catalog/115550464/detail.aspx?targetUrl=XS" TargetMode="External"/><Relationship Id="rId48" Type="http://schemas.openxmlformats.org/officeDocument/2006/relationships/hyperlink" Target="https://www.wildberries.ru/catalog/97309962/detail.aspx?targetUrl=XS" TargetMode="External"/><Relationship Id="rId69" Type="http://schemas.openxmlformats.org/officeDocument/2006/relationships/hyperlink" Target="https://www.wildberries.ru/catalog/96036498/detail.aspx?targetUrl=XS" TargetMode="External"/><Relationship Id="rId113" Type="http://schemas.openxmlformats.org/officeDocument/2006/relationships/hyperlink" Target="https://www.wildberries.ru/catalog/97939626/detail.aspx?targetUrl=XS" TargetMode="External"/><Relationship Id="rId134" Type="http://schemas.openxmlformats.org/officeDocument/2006/relationships/hyperlink" Target="https://www.wildberries.ru/catalog/46268506/detail.aspx?targetUrl=XS" TargetMode="External"/><Relationship Id="rId80" Type="http://schemas.openxmlformats.org/officeDocument/2006/relationships/hyperlink" Target="https://www.wildberries.ru/catalog/17075854/detail.aspx?targetUrl=XS" TargetMode="External"/><Relationship Id="rId155" Type="http://schemas.openxmlformats.org/officeDocument/2006/relationships/hyperlink" Target="https://www.wildberries.ru/catalog/61939158/detail.aspx?targetUrl=XS" TargetMode="External"/><Relationship Id="rId176" Type="http://schemas.openxmlformats.org/officeDocument/2006/relationships/hyperlink" Target="https://www.wildberries.ru/catalog/115923026/detail.aspx?targetUrl=XS" TargetMode="External"/><Relationship Id="rId197" Type="http://schemas.openxmlformats.org/officeDocument/2006/relationships/hyperlink" Target="https://www.wildberries.ru/catalog/77856040/detail.aspx?targetUrl=XS" TargetMode="External"/><Relationship Id="rId201" Type="http://schemas.openxmlformats.org/officeDocument/2006/relationships/hyperlink" Target="https://www.wildberries.ru/catalog/69276833/detail.aspx?targetUrl=XS" TargetMode="External"/><Relationship Id="rId222" Type="http://schemas.openxmlformats.org/officeDocument/2006/relationships/hyperlink" Target="https://www.wildberries.ru/catalog/72675191/detail.aspx?targetUrl=XS" TargetMode="External"/><Relationship Id="rId243" Type="http://schemas.openxmlformats.org/officeDocument/2006/relationships/hyperlink" Target="https://www.wildberries.ru/catalog/36666632/detail.aspx?targetUrl=XS" TargetMode="External"/><Relationship Id="rId264" Type="http://schemas.openxmlformats.org/officeDocument/2006/relationships/hyperlink" Target="https://www.wildberries.ru/catalog/41956513/detail.aspx?targetUrl=XS" TargetMode="External"/><Relationship Id="rId285" Type="http://schemas.openxmlformats.org/officeDocument/2006/relationships/hyperlink" Target="https://www.wildberries.ru/catalog/92631907/detail.aspx?targetUrl=XS" TargetMode="External"/><Relationship Id="rId17" Type="http://schemas.openxmlformats.org/officeDocument/2006/relationships/hyperlink" Target="https://www.wildberries.ru/catalog/78149129/detail.aspx?targetUrl=XS" TargetMode="External"/><Relationship Id="rId38" Type="http://schemas.openxmlformats.org/officeDocument/2006/relationships/hyperlink" Target="https://www.wildberries.ru/catalog/78155620/detail.aspx?targetUrl=XS" TargetMode="External"/><Relationship Id="rId59" Type="http://schemas.openxmlformats.org/officeDocument/2006/relationships/hyperlink" Target="https://www.wildberries.ru/catalog/113199458/detail.aspx?targetUrl=XS" TargetMode="External"/><Relationship Id="rId103" Type="http://schemas.openxmlformats.org/officeDocument/2006/relationships/hyperlink" Target="https://www.wildberries.ru/catalog/42150332/detail.aspx?targetUrl=XS" TargetMode="External"/><Relationship Id="rId124" Type="http://schemas.openxmlformats.org/officeDocument/2006/relationships/hyperlink" Target="https://www.wildberries.ru/catalog/114689808/detail.aspx?targetUrl=XS" TargetMode="External"/><Relationship Id="rId70" Type="http://schemas.openxmlformats.org/officeDocument/2006/relationships/hyperlink" Target="https://www.wildberries.ru/catalog/112981272/detail.aspx?targetUrl=XS" TargetMode="External"/><Relationship Id="rId91" Type="http://schemas.openxmlformats.org/officeDocument/2006/relationships/hyperlink" Target="https://www.wildberries.ru/catalog/25679019/detail.aspx?targetUrl=XS" TargetMode="External"/><Relationship Id="rId145" Type="http://schemas.openxmlformats.org/officeDocument/2006/relationships/hyperlink" Target="https://www.wildberries.ru/catalog/46307058/detail.aspx?targetUrl=XS" TargetMode="External"/><Relationship Id="rId166" Type="http://schemas.openxmlformats.org/officeDocument/2006/relationships/hyperlink" Target="https://www.wildberries.ru/catalog/46702249/detail.aspx?targetUrl=XS" TargetMode="External"/><Relationship Id="rId187" Type="http://schemas.openxmlformats.org/officeDocument/2006/relationships/hyperlink" Target="https://www.wildberries.ru/catalog/92336650/detail.aspx?targetUrl=XS" TargetMode="External"/><Relationship Id="rId1" Type="http://schemas.openxmlformats.org/officeDocument/2006/relationships/hyperlink" Target="https://www.wildberries.ru/catalog/72919047/detail.aspx?targetUrl=XS" TargetMode="External"/><Relationship Id="rId212" Type="http://schemas.openxmlformats.org/officeDocument/2006/relationships/hyperlink" Target="https://www.wildberries.ru/catalog/86013173/detail.aspx?targetUrl=XS" TargetMode="External"/><Relationship Id="rId233" Type="http://schemas.openxmlformats.org/officeDocument/2006/relationships/hyperlink" Target="https://www.wildberries.ru/catalog/86013177/detail.aspx?targetUrl=XS" TargetMode="External"/><Relationship Id="rId254" Type="http://schemas.openxmlformats.org/officeDocument/2006/relationships/hyperlink" Target="https://www.wildberries.ru/catalog/85960763/detail.aspx?targetUrl=XS" TargetMode="External"/><Relationship Id="rId28" Type="http://schemas.openxmlformats.org/officeDocument/2006/relationships/hyperlink" Target="https://www.wildberries.ru/catalog/85809708/detail.aspx?targetUrl=XS" TargetMode="External"/><Relationship Id="rId49" Type="http://schemas.openxmlformats.org/officeDocument/2006/relationships/hyperlink" Target="https://www.wildberries.ru/catalog/63755756/detail.aspx?targetUrl=XS" TargetMode="External"/><Relationship Id="rId114" Type="http://schemas.openxmlformats.org/officeDocument/2006/relationships/hyperlink" Target="https://www.wildberries.ru/catalog/116795752/detail.aspx?targetUrl=XS" TargetMode="External"/><Relationship Id="rId275" Type="http://schemas.openxmlformats.org/officeDocument/2006/relationships/hyperlink" Target="https://www.wildberries.ru/catalog/95041844/detail.aspx?targetUrl=XS" TargetMode="External"/><Relationship Id="rId296" Type="http://schemas.openxmlformats.org/officeDocument/2006/relationships/hyperlink" Target="https://www.wildberries.ru/catalog/112925169/detail.aspx?targetUrl=XS" TargetMode="External"/><Relationship Id="rId300" Type="http://schemas.openxmlformats.org/officeDocument/2006/relationships/hyperlink" Target="https://www.wildberries.ru/catalog/96881348/detail.aspx?targetUrl=XS" TargetMode="External"/><Relationship Id="rId60" Type="http://schemas.openxmlformats.org/officeDocument/2006/relationships/hyperlink" Target="https://www.wildberries.ru/catalog/43225659/detail.aspx?targetUrl=XS" TargetMode="External"/><Relationship Id="rId81" Type="http://schemas.openxmlformats.org/officeDocument/2006/relationships/hyperlink" Target="https://www.wildberries.ru/catalog/117757741/detail.aspx?targetUrl=XS" TargetMode="External"/><Relationship Id="rId135" Type="http://schemas.openxmlformats.org/officeDocument/2006/relationships/hyperlink" Target="https://www.wildberries.ru/catalog/25847559/detail.aspx?targetUrl=XS" TargetMode="External"/><Relationship Id="rId156" Type="http://schemas.openxmlformats.org/officeDocument/2006/relationships/hyperlink" Target="https://www.wildberries.ru/catalog/76334713/detail.aspx?targetUrl=XS" TargetMode="External"/><Relationship Id="rId177" Type="http://schemas.openxmlformats.org/officeDocument/2006/relationships/hyperlink" Target="https://www.wildberries.ru/catalog/96674844/detail.aspx?targetUrl=XS" TargetMode="External"/><Relationship Id="rId198" Type="http://schemas.openxmlformats.org/officeDocument/2006/relationships/hyperlink" Target="https://www.wildberries.ru/catalog/101242784/detail.aspx?targetUrl=XS" TargetMode="External"/><Relationship Id="rId202" Type="http://schemas.openxmlformats.org/officeDocument/2006/relationships/hyperlink" Target="https://www.wildberries.ru/catalog/62673640/detail.aspx?targetUrl=XS" TargetMode="External"/><Relationship Id="rId223" Type="http://schemas.openxmlformats.org/officeDocument/2006/relationships/hyperlink" Target="https://www.wildberries.ru/catalog/90203354/detail.aspx?targetUrl=XS" TargetMode="External"/><Relationship Id="rId244" Type="http://schemas.openxmlformats.org/officeDocument/2006/relationships/hyperlink" Target="https://www.wildberries.ru/catalog/77944403/detail.aspx?targetUrl=XS" TargetMode="External"/><Relationship Id="rId18" Type="http://schemas.openxmlformats.org/officeDocument/2006/relationships/hyperlink" Target="https://www.wildberries.ru/catalog/110727287/detail.aspx?targetUrl=XS" TargetMode="External"/><Relationship Id="rId39" Type="http://schemas.openxmlformats.org/officeDocument/2006/relationships/hyperlink" Target="https://www.wildberries.ru/catalog/53597648/detail.aspx?targetUrl=XS" TargetMode="External"/><Relationship Id="rId265" Type="http://schemas.openxmlformats.org/officeDocument/2006/relationships/hyperlink" Target="https://www.wildberries.ru/catalog/94119440/detail.aspx?targetUrl=XS" TargetMode="External"/><Relationship Id="rId286" Type="http://schemas.openxmlformats.org/officeDocument/2006/relationships/hyperlink" Target="https://www.wildberries.ru/catalog/100343373/detail.aspx?targetUrl=XS" TargetMode="External"/><Relationship Id="rId50" Type="http://schemas.openxmlformats.org/officeDocument/2006/relationships/hyperlink" Target="https://www.wildberries.ru/catalog/34006359/detail.aspx?targetUrl=XS" TargetMode="External"/><Relationship Id="rId104" Type="http://schemas.openxmlformats.org/officeDocument/2006/relationships/hyperlink" Target="https://www.wildberries.ru/catalog/81871391/detail.aspx?targetUrl=XS" TargetMode="External"/><Relationship Id="rId125" Type="http://schemas.openxmlformats.org/officeDocument/2006/relationships/hyperlink" Target="https://www.wildberries.ru/catalog/87604770/detail.aspx?targetUrl=XS" TargetMode="External"/><Relationship Id="rId146" Type="http://schemas.openxmlformats.org/officeDocument/2006/relationships/hyperlink" Target="https://www.wildberries.ru/catalog/100367371/detail.aspx?targetUrl=XS" TargetMode="External"/><Relationship Id="rId167" Type="http://schemas.openxmlformats.org/officeDocument/2006/relationships/hyperlink" Target="https://www.wildberries.ru/catalog/110944597/detail.aspx?targetUrl=XS" TargetMode="External"/><Relationship Id="rId188" Type="http://schemas.openxmlformats.org/officeDocument/2006/relationships/hyperlink" Target="https://www.wildberries.ru/catalog/96036498/detail.aspx?targetUrl=XS" TargetMode="External"/><Relationship Id="rId71" Type="http://schemas.openxmlformats.org/officeDocument/2006/relationships/hyperlink" Target="https://www.wildberries.ru/catalog/110944597/detail.aspx?targetUrl=XS" TargetMode="External"/><Relationship Id="rId92" Type="http://schemas.openxmlformats.org/officeDocument/2006/relationships/hyperlink" Target="https://www.wildberries.ru/catalog/97975622/detail.aspx?targetUrl=XS" TargetMode="External"/><Relationship Id="rId213" Type="http://schemas.openxmlformats.org/officeDocument/2006/relationships/hyperlink" Target="https://www.wildberries.ru/catalog/69048674/detail.aspx?targetUrl=XS" TargetMode="External"/><Relationship Id="rId234" Type="http://schemas.openxmlformats.org/officeDocument/2006/relationships/hyperlink" Target="https://www.wildberries.ru/catalog/75772477/detail.aspx?targetUrl=X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H305"/>
  <sheetViews>
    <sheetView topLeftCell="A225" workbookViewId="0">
      <selection activeCell="B2" sqref="B2"/>
    </sheetView>
  </sheetViews>
  <sheetFormatPr defaultRowHeight="15" x14ac:dyDescent="0.25"/>
  <cols>
    <col min="1" max="1" width="36.85546875" bestFit="1" customWidth="1"/>
    <col min="2" max="2" width="67.28515625" bestFit="1" customWidth="1"/>
    <col min="3" max="4" width="11.85546875" style="2" customWidth="1"/>
    <col min="5" max="5" width="23.140625" bestFit="1" customWidth="1"/>
    <col min="6" max="6" width="11.85546875" customWidth="1"/>
  </cols>
  <sheetData>
    <row r="1" spans="1:8" ht="50.25" customHeight="1" x14ac:dyDescent="0.25">
      <c r="F1" s="1" t="s">
        <v>190</v>
      </c>
    </row>
    <row r="2" spans="1:8" x14ac:dyDescent="0.25">
      <c r="A2" t="s">
        <v>0</v>
      </c>
      <c r="B2" t="s">
        <v>1</v>
      </c>
      <c r="C2" s="2" t="s">
        <v>3</v>
      </c>
      <c r="D2" s="2" t="s">
        <v>2</v>
      </c>
      <c r="E2" t="s">
        <v>4</v>
      </c>
      <c r="F2" t="s">
        <v>5</v>
      </c>
      <c r="G2" t="s">
        <v>6</v>
      </c>
      <c r="H2" t="s">
        <v>151</v>
      </c>
    </row>
    <row r="3" spans="1:8" x14ac:dyDescent="0.25">
      <c r="A3" t="s">
        <v>19</v>
      </c>
      <c r="B3" t="s">
        <v>18</v>
      </c>
      <c r="C3" s="2">
        <v>15747</v>
      </c>
      <c r="D3" s="2">
        <v>26245</v>
      </c>
      <c r="E3" s="4" t="s">
        <v>7</v>
      </c>
      <c r="F3" s="3">
        <f>IFERROR((Таблица1[[#This Row],[Старая цена]]-Таблица1[[#This Row],[Новая цена]])/Таблица1[[#This Row],[Старая цена]],0)</f>
        <v>0.4</v>
      </c>
      <c r="G3" s="5">
        <f>Таблица1[[#This Row],[Старая цена]]-Таблица1[[#This Row],[Новая цена]]</f>
        <v>10498</v>
      </c>
      <c r="H3">
        <v>106</v>
      </c>
    </row>
    <row r="4" spans="1:8" x14ac:dyDescent="0.25">
      <c r="A4" t="s">
        <v>84</v>
      </c>
      <c r="B4" t="s">
        <v>117</v>
      </c>
      <c r="C4" s="2">
        <v>14792</v>
      </c>
      <c r="D4" s="2">
        <v>19990</v>
      </c>
      <c r="E4" s="4" t="s">
        <v>7</v>
      </c>
      <c r="F4" s="3">
        <f>IFERROR((Таблица1[[#This Row],[Старая цена]]-Таблица1[[#This Row],[Новая цена]])/Таблица1[[#This Row],[Старая цена]],0)</f>
        <v>0.26003001500750378</v>
      </c>
      <c r="G4" s="5">
        <f>Таблица1[[#This Row],[Старая цена]]-Таблица1[[#This Row],[Новая цена]]</f>
        <v>5198</v>
      </c>
      <c r="H4">
        <v>68</v>
      </c>
    </row>
    <row r="5" spans="1:8" x14ac:dyDescent="0.25">
      <c r="A5" t="s">
        <v>84</v>
      </c>
      <c r="B5" t="s">
        <v>147</v>
      </c>
      <c r="C5" s="2">
        <v>12997</v>
      </c>
      <c r="D5" s="2">
        <v>30226</v>
      </c>
      <c r="E5" s="4" t="s">
        <v>7</v>
      </c>
      <c r="F5" s="3">
        <f>IFERROR((Таблица1[[#This Row],[Старая цена]]-Таблица1[[#This Row],[Новая цена]])/Таблица1[[#This Row],[Старая цена]],0)</f>
        <v>0.57000595513796071</v>
      </c>
      <c r="G5" s="5">
        <f>Таблица1[[#This Row],[Старая цена]]-Таблица1[[#This Row],[Новая цена]]</f>
        <v>17229</v>
      </c>
      <c r="H5">
        <v>122</v>
      </c>
    </row>
    <row r="6" spans="1:8" x14ac:dyDescent="0.25">
      <c r="A6" t="s">
        <v>84</v>
      </c>
      <c r="B6" t="s">
        <v>83</v>
      </c>
      <c r="C6" s="2">
        <v>12312</v>
      </c>
      <c r="D6" s="2">
        <v>15990</v>
      </c>
      <c r="E6" s="4" t="s">
        <v>7</v>
      </c>
      <c r="F6" s="3">
        <f>IFERROR((Таблица1[[#This Row],[Старая цена]]-Таблица1[[#This Row],[Новая цена]])/Таблица1[[#This Row],[Старая цена]],0)</f>
        <v>0.2300187617260788</v>
      </c>
      <c r="G6" s="5">
        <f>Таблица1[[#This Row],[Старая цена]]-Таблица1[[#This Row],[Новая цена]]</f>
        <v>3678</v>
      </c>
      <c r="H6">
        <v>59</v>
      </c>
    </row>
    <row r="7" spans="1:8" x14ac:dyDescent="0.25">
      <c r="A7" t="s">
        <v>84</v>
      </c>
      <c r="B7" t="s">
        <v>142</v>
      </c>
      <c r="C7" s="2">
        <v>9585</v>
      </c>
      <c r="D7" s="2">
        <v>11690</v>
      </c>
      <c r="E7" s="4" t="s">
        <v>7</v>
      </c>
      <c r="F7" s="3">
        <f>IFERROR((Таблица1[[#This Row],[Старая цена]]-Таблица1[[#This Row],[Новая цена]])/Таблица1[[#This Row],[Старая цена]],0)</f>
        <v>0.18006843455945251</v>
      </c>
      <c r="G7" s="5">
        <f>Таблица1[[#This Row],[Старая цена]]-Таблица1[[#This Row],[Новая цена]]</f>
        <v>2105</v>
      </c>
      <c r="H7">
        <v>15</v>
      </c>
    </row>
    <row r="8" spans="1:8" x14ac:dyDescent="0.25">
      <c r="A8" t="s">
        <v>84</v>
      </c>
      <c r="B8" t="s">
        <v>102</v>
      </c>
      <c r="C8" s="2">
        <v>9552</v>
      </c>
      <c r="D8" s="2">
        <v>16190</v>
      </c>
      <c r="E8" s="4" t="s">
        <v>7</v>
      </c>
      <c r="F8" s="3">
        <f>IFERROR((Таблица1[[#This Row],[Старая цена]]-Таблица1[[#This Row],[Новая цена]])/Таблица1[[#This Row],[Старая цена]],0)</f>
        <v>0.41000617665225447</v>
      </c>
      <c r="G8" s="5">
        <f>Таблица1[[#This Row],[Старая цена]]-Таблица1[[#This Row],[Новая цена]]</f>
        <v>6638</v>
      </c>
      <c r="H8">
        <v>122</v>
      </c>
    </row>
    <row r="9" spans="1:8" x14ac:dyDescent="0.25">
      <c r="A9" t="s">
        <v>129</v>
      </c>
      <c r="B9" t="s">
        <v>128</v>
      </c>
      <c r="C9" s="2">
        <v>7785</v>
      </c>
      <c r="D9" s="2">
        <v>17300</v>
      </c>
      <c r="E9" s="4" t="s">
        <v>7</v>
      </c>
      <c r="F9" s="3">
        <f>IFERROR((Таблица1[[#This Row],[Старая цена]]-Таблица1[[#This Row],[Новая цена]])/Таблица1[[#This Row],[Старая цена]],0)</f>
        <v>0.55000000000000004</v>
      </c>
      <c r="G9" s="5">
        <f>Таблица1[[#This Row],[Старая цена]]-Таблица1[[#This Row],[Новая цена]]</f>
        <v>9515</v>
      </c>
      <c r="H9">
        <v>2</v>
      </c>
    </row>
    <row r="10" spans="1:8" x14ac:dyDescent="0.25">
      <c r="A10" t="s">
        <v>91</v>
      </c>
      <c r="B10" t="s">
        <v>90</v>
      </c>
      <c r="C10" s="2">
        <v>7401</v>
      </c>
      <c r="D10" s="2">
        <v>15420</v>
      </c>
      <c r="E10" s="4" t="s">
        <v>7</v>
      </c>
      <c r="F10" s="3">
        <f>IFERROR((Таблица1[[#This Row],[Старая цена]]-Таблица1[[#This Row],[Новая цена]])/Таблица1[[#This Row],[Старая цена]],0)</f>
        <v>0.52003891050583662</v>
      </c>
      <c r="G10" s="5">
        <f>Таблица1[[#This Row],[Старая цена]]-Таблица1[[#This Row],[Новая цена]]</f>
        <v>8019</v>
      </c>
      <c r="H10">
        <v>26</v>
      </c>
    </row>
    <row r="11" spans="1:8" x14ac:dyDescent="0.25">
      <c r="A11" t="s">
        <v>144</v>
      </c>
      <c r="B11" t="s">
        <v>143</v>
      </c>
      <c r="C11" s="2">
        <v>5984</v>
      </c>
      <c r="D11" s="2">
        <v>8800</v>
      </c>
      <c r="E11" s="4" t="s">
        <v>7</v>
      </c>
      <c r="F11" s="3">
        <f>IFERROR((Таблица1[[#This Row],[Старая цена]]-Таблица1[[#This Row],[Новая цена]])/Таблица1[[#This Row],[Старая цена]],0)</f>
        <v>0.32</v>
      </c>
      <c r="G11" s="5">
        <f>Таблица1[[#This Row],[Старая цена]]-Таблица1[[#This Row],[Новая цена]]</f>
        <v>2816</v>
      </c>
      <c r="H11">
        <v>13</v>
      </c>
    </row>
    <row r="12" spans="1:8" x14ac:dyDescent="0.25">
      <c r="A12" t="s">
        <v>146</v>
      </c>
      <c r="B12" t="s">
        <v>145</v>
      </c>
      <c r="C12" s="2">
        <v>5599</v>
      </c>
      <c r="D12" s="2">
        <v>11428</v>
      </c>
      <c r="E12" s="4" t="s">
        <v>7</v>
      </c>
      <c r="F12" s="3">
        <f>IFERROR((Таблица1[[#This Row],[Старая цена]]-Таблица1[[#This Row],[Новая цена]])/Таблица1[[#This Row],[Старая цена]],0)</f>
        <v>0.51006300315015751</v>
      </c>
      <c r="G12" s="5">
        <f>Таблица1[[#This Row],[Старая цена]]-Таблица1[[#This Row],[Новая цена]]</f>
        <v>5829</v>
      </c>
      <c r="H12">
        <v>18</v>
      </c>
    </row>
    <row r="13" spans="1:8" x14ac:dyDescent="0.25">
      <c r="A13" t="s">
        <v>57</v>
      </c>
      <c r="B13" t="s">
        <v>56</v>
      </c>
      <c r="C13" s="2">
        <v>4956</v>
      </c>
      <c r="D13" s="2">
        <v>8400</v>
      </c>
      <c r="E13" s="4" t="s">
        <v>7</v>
      </c>
      <c r="F13" s="3">
        <f>IFERROR((Таблица1[[#This Row],[Старая цена]]-Таблица1[[#This Row],[Новая цена]])/Таблица1[[#This Row],[Старая цена]],0)</f>
        <v>0.41</v>
      </c>
      <c r="G13" s="5">
        <f>Таблица1[[#This Row],[Старая цена]]-Таблица1[[#This Row],[Новая цена]]</f>
        <v>3444</v>
      </c>
      <c r="H13">
        <v>64</v>
      </c>
    </row>
    <row r="14" spans="1:8" x14ac:dyDescent="0.25">
      <c r="A14" t="s">
        <v>57</v>
      </c>
      <c r="B14" t="s">
        <v>56</v>
      </c>
      <c r="C14" s="2">
        <v>4956</v>
      </c>
      <c r="D14" s="2">
        <v>8400</v>
      </c>
      <c r="E14" s="4" t="s">
        <v>7</v>
      </c>
      <c r="F14" s="3">
        <f>IFERROR((Таблица1[[#This Row],[Старая цена]]-Таблица1[[#This Row],[Новая цена]])/Таблица1[[#This Row],[Старая цена]],0)</f>
        <v>0.41</v>
      </c>
      <c r="G14" s="5">
        <f>Таблица1[[#This Row],[Старая цена]]-Таблица1[[#This Row],[Новая цена]]</f>
        <v>3444</v>
      </c>
      <c r="H14">
        <v>64</v>
      </c>
    </row>
    <row r="15" spans="1:8" x14ac:dyDescent="0.25">
      <c r="A15" t="s">
        <v>48</v>
      </c>
      <c r="B15" t="s">
        <v>47</v>
      </c>
      <c r="C15" s="2">
        <v>4360</v>
      </c>
      <c r="D15" s="2">
        <v>10902</v>
      </c>
      <c r="E15" s="4" t="s">
        <v>7</v>
      </c>
      <c r="F15" s="3">
        <f>IFERROR((Таблица1[[#This Row],[Старая цена]]-Таблица1[[#This Row],[Новая цена]])/Таблица1[[#This Row],[Старая цена]],0)</f>
        <v>0.60007338103100349</v>
      </c>
      <c r="G15" s="5">
        <f>Таблица1[[#This Row],[Старая цена]]-Таблица1[[#This Row],[Новая цена]]</f>
        <v>6542</v>
      </c>
      <c r="H15">
        <v>145</v>
      </c>
    </row>
    <row r="16" spans="1:8" x14ac:dyDescent="0.25">
      <c r="A16" t="s">
        <v>48</v>
      </c>
      <c r="B16" t="s">
        <v>47</v>
      </c>
      <c r="C16" s="2">
        <v>4360</v>
      </c>
      <c r="D16" s="2">
        <v>10902</v>
      </c>
      <c r="E16" s="4" t="s">
        <v>7</v>
      </c>
      <c r="F16" s="3">
        <f>IFERROR((Таблица1[[#This Row],[Старая цена]]-Таблица1[[#This Row],[Новая цена]])/Таблица1[[#This Row],[Старая цена]],0)</f>
        <v>0.60007338103100349</v>
      </c>
      <c r="G16" s="5">
        <f>Таблица1[[#This Row],[Старая цена]]-Таблица1[[#This Row],[Новая цена]]</f>
        <v>6542</v>
      </c>
      <c r="H16">
        <v>145</v>
      </c>
    </row>
    <row r="17" spans="1:8" x14ac:dyDescent="0.25">
      <c r="A17" t="s">
        <v>34</v>
      </c>
      <c r="B17" t="s">
        <v>33</v>
      </c>
      <c r="C17" s="2">
        <v>4299</v>
      </c>
      <c r="D17" s="2">
        <v>10748</v>
      </c>
      <c r="E17" s="4" t="s">
        <v>7</v>
      </c>
      <c r="F17" s="3">
        <f>IFERROR((Таблица1[[#This Row],[Старая цена]]-Таблица1[[#This Row],[Новая цена]])/Таблица1[[#This Row],[Старая цена]],0)</f>
        <v>0.60001860811313734</v>
      </c>
      <c r="G17" s="5">
        <f>Таблица1[[#This Row],[Старая цена]]-Таблица1[[#This Row],[Новая цена]]</f>
        <v>6449</v>
      </c>
      <c r="H17">
        <v>36</v>
      </c>
    </row>
    <row r="18" spans="1:8" x14ac:dyDescent="0.25">
      <c r="A18" t="s">
        <v>95</v>
      </c>
      <c r="B18" t="s">
        <v>94</v>
      </c>
      <c r="C18" s="2">
        <v>4222</v>
      </c>
      <c r="D18" s="2">
        <v>16890</v>
      </c>
      <c r="E18" s="4" t="s">
        <v>7</v>
      </c>
      <c r="F18" s="3">
        <f>IFERROR((Таблица1[[#This Row],[Старая цена]]-Таблица1[[#This Row],[Новая цена]])/Таблица1[[#This Row],[Старая цена]],0)</f>
        <v>0.75002960331557134</v>
      </c>
      <c r="G18" s="5">
        <f>Таблица1[[#This Row],[Старая цена]]-Таблица1[[#This Row],[Новая цена]]</f>
        <v>12668</v>
      </c>
      <c r="H18">
        <v>38</v>
      </c>
    </row>
    <row r="19" spans="1:8" x14ac:dyDescent="0.25">
      <c r="A19" t="s">
        <v>52</v>
      </c>
      <c r="B19" t="s">
        <v>51</v>
      </c>
      <c r="C19" s="2">
        <v>4200</v>
      </c>
      <c r="D19" s="2">
        <v>7000</v>
      </c>
      <c r="E19" s="4" t="s">
        <v>7</v>
      </c>
      <c r="F19" s="3">
        <f>IFERROR((Таблица1[[#This Row],[Старая цена]]-Таблица1[[#This Row],[Новая цена]])/Таблица1[[#This Row],[Старая цена]],0)</f>
        <v>0.4</v>
      </c>
      <c r="G19" s="5">
        <f>Таблица1[[#This Row],[Старая цена]]-Таблица1[[#This Row],[Новая цена]]</f>
        <v>2800</v>
      </c>
      <c r="H19">
        <v>118</v>
      </c>
    </row>
    <row r="20" spans="1:8" x14ac:dyDescent="0.25">
      <c r="A20" t="s">
        <v>48</v>
      </c>
      <c r="B20" t="s">
        <v>124</v>
      </c>
      <c r="C20" s="2">
        <v>4159</v>
      </c>
      <c r="D20" s="2">
        <v>10398</v>
      </c>
      <c r="E20" s="4" t="s">
        <v>7</v>
      </c>
      <c r="F20" s="3">
        <f>IFERROR((Таблица1[[#This Row],[Старая цена]]-Таблица1[[#This Row],[Новая цена]])/Таблица1[[#This Row],[Старая цена]],0)</f>
        <v>0.60001923446816696</v>
      </c>
      <c r="G20" s="5">
        <f>Таблица1[[#This Row],[Старая цена]]-Таблица1[[#This Row],[Новая цена]]</f>
        <v>6239</v>
      </c>
      <c r="H20">
        <v>9</v>
      </c>
    </row>
    <row r="21" spans="1:8" x14ac:dyDescent="0.25">
      <c r="A21" t="s">
        <v>27</v>
      </c>
      <c r="B21" t="s">
        <v>26</v>
      </c>
      <c r="C21" s="2">
        <v>4065</v>
      </c>
      <c r="D21" s="2">
        <v>10425</v>
      </c>
      <c r="E21" s="4" t="s">
        <v>7</v>
      </c>
      <c r="F21" s="3">
        <f>IFERROR((Таблица1[[#This Row],[Старая цена]]-Таблица1[[#This Row],[Новая цена]])/Таблица1[[#This Row],[Старая цена]],0)</f>
        <v>0.61007194244604313</v>
      </c>
      <c r="G21" s="5">
        <f>Таблица1[[#This Row],[Старая цена]]-Таблица1[[#This Row],[Новая цена]]</f>
        <v>6360</v>
      </c>
      <c r="H21">
        <v>1395</v>
      </c>
    </row>
    <row r="22" spans="1:8" x14ac:dyDescent="0.25">
      <c r="A22" t="s">
        <v>13</v>
      </c>
      <c r="B22" t="s">
        <v>12</v>
      </c>
      <c r="C22" s="2">
        <v>3998</v>
      </c>
      <c r="D22" s="2">
        <v>14280</v>
      </c>
      <c r="E22" s="4" t="s">
        <v>7</v>
      </c>
      <c r="F22" s="3">
        <f>IFERROR((Таблица1[[#This Row],[Старая цена]]-Таблица1[[#This Row],[Новая цена]])/Таблица1[[#This Row],[Старая цена]],0)</f>
        <v>0.72002801120448179</v>
      </c>
      <c r="G22" s="5">
        <f>Таблица1[[#This Row],[Старая цена]]-Таблица1[[#This Row],[Новая цена]]</f>
        <v>10282</v>
      </c>
      <c r="H22">
        <v>578</v>
      </c>
    </row>
    <row r="23" spans="1:8" x14ac:dyDescent="0.25">
      <c r="A23" t="s">
        <v>39</v>
      </c>
      <c r="B23" t="s">
        <v>38</v>
      </c>
      <c r="C23" s="2">
        <v>3899</v>
      </c>
      <c r="D23" s="2">
        <v>27850</v>
      </c>
      <c r="E23" s="4" t="s">
        <v>7</v>
      </c>
      <c r="F23" s="3">
        <f>IFERROR((Таблица1[[#This Row],[Старая цена]]-Таблица1[[#This Row],[Новая цена]])/Таблица1[[#This Row],[Старая цена]],0)</f>
        <v>0.86</v>
      </c>
      <c r="G23" s="5">
        <f>Таблица1[[#This Row],[Старая цена]]-Таблица1[[#This Row],[Новая цена]]</f>
        <v>23951</v>
      </c>
      <c r="H23">
        <v>2319</v>
      </c>
    </row>
    <row r="24" spans="1:8" x14ac:dyDescent="0.25">
      <c r="A24" t="s">
        <v>112</v>
      </c>
      <c r="B24" t="s">
        <v>111</v>
      </c>
      <c r="C24" s="2">
        <v>3760</v>
      </c>
      <c r="D24" s="2">
        <v>8000</v>
      </c>
      <c r="E24" s="4" t="s">
        <v>7</v>
      </c>
      <c r="F24" s="3">
        <f>IFERROR((Таблица1[[#This Row],[Старая цена]]-Таблица1[[#This Row],[Новая цена]])/Таблица1[[#This Row],[Старая цена]],0)</f>
        <v>0.53</v>
      </c>
      <c r="G24" s="5">
        <f>Таблица1[[#This Row],[Старая цена]]-Таблица1[[#This Row],[Новая цена]]</f>
        <v>4240</v>
      </c>
      <c r="H24">
        <v>5</v>
      </c>
    </row>
    <row r="25" spans="1:8" x14ac:dyDescent="0.25">
      <c r="A25" t="s">
        <v>76</v>
      </c>
      <c r="B25" t="s">
        <v>36</v>
      </c>
      <c r="C25" s="2">
        <v>3710</v>
      </c>
      <c r="D25" s="2">
        <v>7000</v>
      </c>
      <c r="E25" s="4" t="s">
        <v>7</v>
      </c>
      <c r="F25" s="3">
        <f>IFERROR((Таблица1[[#This Row],[Старая цена]]-Таблица1[[#This Row],[Новая цена]])/Таблица1[[#This Row],[Старая цена]],0)</f>
        <v>0.47</v>
      </c>
      <c r="G25" s="5">
        <f>Таблица1[[#This Row],[Старая цена]]-Таблица1[[#This Row],[Новая цена]]</f>
        <v>3290</v>
      </c>
      <c r="H25">
        <v>30</v>
      </c>
    </row>
    <row r="26" spans="1:8" x14ac:dyDescent="0.25">
      <c r="A26" t="s">
        <v>76</v>
      </c>
      <c r="B26" t="s">
        <v>36</v>
      </c>
      <c r="C26" s="2">
        <v>3710</v>
      </c>
      <c r="D26" s="2">
        <v>7000</v>
      </c>
      <c r="E26" s="4" t="s">
        <v>7</v>
      </c>
      <c r="F26" s="3">
        <f>IFERROR((Таблица1[[#This Row],[Старая цена]]-Таблица1[[#This Row],[Новая цена]])/Таблица1[[#This Row],[Старая цена]],0)</f>
        <v>0.47</v>
      </c>
      <c r="G26" s="5">
        <f>Таблица1[[#This Row],[Старая цена]]-Таблица1[[#This Row],[Новая цена]]</f>
        <v>3290</v>
      </c>
      <c r="H26">
        <v>30</v>
      </c>
    </row>
    <row r="27" spans="1:8" x14ac:dyDescent="0.25">
      <c r="A27" t="s">
        <v>27</v>
      </c>
      <c r="B27" t="s">
        <v>26</v>
      </c>
      <c r="C27" s="2">
        <v>3694</v>
      </c>
      <c r="D27" s="2">
        <v>9473</v>
      </c>
      <c r="E27" s="4" t="s">
        <v>7</v>
      </c>
      <c r="F27" s="3">
        <f>IFERROR((Таблица1[[#This Row],[Старая цена]]-Таблица1[[#This Row],[Новая цена]])/Таблица1[[#This Row],[Старая цена]],0)</f>
        <v>0.61004961469439456</v>
      </c>
      <c r="G27" s="5">
        <f>Таблица1[[#This Row],[Старая цена]]-Таблица1[[#This Row],[Новая цена]]</f>
        <v>5779</v>
      </c>
      <c r="H27">
        <v>1395</v>
      </c>
    </row>
    <row r="28" spans="1:8" x14ac:dyDescent="0.25">
      <c r="A28" t="s">
        <v>27</v>
      </c>
      <c r="B28" t="s">
        <v>26</v>
      </c>
      <c r="C28" s="2">
        <v>3694</v>
      </c>
      <c r="D28" s="2">
        <v>9473</v>
      </c>
      <c r="E28" s="4" t="s">
        <v>7</v>
      </c>
      <c r="F28" s="3">
        <f>IFERROR((Таблица1[[#This Row],[Старая цена]]-Таблица1[[#This Row],[Новая цена]])/Таблица1[[#This Row],[Старая цена]],0)</f>
        <v>0.61004961469439456</v>
      </c>
      <c r="G28" s="5">
        <f>Таблица1[[#This Row],[Старая цена]]-Таблица1[[#This Row],[Новая цена]]</f>
        <v>5779</v>
      </c>
      <c r="H28">
        <v>1395</v>
      </c>
    </row>
    <row r="29" spans="1:8" x14ac:dyDescent="0.25">
      <c r="A29" t="s">
        <v>82</v>
      </c>
      <c r="B29" t="s">
        <v>81</v>
      </c>
      <c r="C29" s="2">
        <v>3659</v>
      </c>
      <c r="D29" s="2">
        <v>6534</v>
      </c>
      <c r="E29" s="4" t="s">
        <v>7</v>
      </c>
      <c r="F29" s="3">
        <f>IFERROR((Таблица1[[#This Row],[Старая цена]]-Таблица1[[#This Row],[Новая цена]])/Таблица1[[#This Row],[Старая цена]],0)</f>
        <v>0.44000612182430365</v>
      </c>
      <c r="G29" s="5">
        <f>Таблица1[[#This Row],[Старая цена]]-Таблица1[[#This Row],[Новая цена]]</f>
        <v>2875</v>
      </c>
      <c r="H29">
        <v>147</v>
      </c>
    </row>
    <row r="30" spans="1:8" x14ac:dyDescent="0.25">
      <c r="A30" t="s">
        <v>76</v>
      </c>
      <c r="B30" t="s">
        <v>36</v>
      </c>
      <c r="C30" s="2">
        <v>3640</v>
      </c>
      <c r="D30" s="2">
        <v>7000</v>
      </c>
      <c r="E30" s="4" t="s">
        <v>7</v>
      </c>
      <c r="F30" s="3">
        <f>IFERROR((Таблица1[[#This Row],[Старая цена]]-Таблица1[[#This Row],[Новая цена]])/Таблица1[[#This Row],[Старая цена]],0)</f>
        <v>0.48</v>
      </c>
      <c r="G30" s="5">
        <f>Таблица1[[#This Row],[Старая цена]]-Таблица1[[#This Row],[Новая цена]]</f>
        <v>3360</v>
      </c>
      <c r="H30">
        <v>33</v>
      </c>
    </row>
    <row r="31" spans="1:8" x14ac:dyDescent="0.25">
      <c r="A31" t="s">
        <v>60</v>
      </c>
      <c r="B31" t="s">
        <v>59</v>
      </c>
      <c r="C31" s="2">
        <v>3552</v>
      </c>
      <c r="D31" s="2">
        <v>14800</v>
      </c>
      <c r="E31" s="4" t="s">
        <v>7</v>
      </c>
      <c r="F31" s="3">
        <f>IFERROR((Таблица1[[#This Row],[Старая цена]]-Таблица1[[#This Row],[Новая цена]])/Таблица1[[#This Row],[Старая цена]],0)</f>
        <v>0.76</v>
      </c>
      <c r="G31" s="5">
        <f>Таблица1[[#This Row],[Старая цена]]-Таблица1[[#This Row],[Новая цена]]</f>
        <v>11248</v>
      </c>
      <c r="H31">
        <v>388</v>
      </c>
    </row>
    <row r="32" spans="1:8" x14ac:dyDescent="0.25">
      <c r="A32" t="s">
        <v>60</v>
      </c>
      <c r="B32" t="s">
        <v>59</v>
      </c>
      <c r="C32" s="2">
        <v>3552</v>
      </c>
      <c r="D32" s="2">
        <v>14800</v>
      </c>
      <c r="E32" s="4" t="s">
        <v>7</v>
      </c>
      <c r="F32" s="3">
        <f>IFERROR((Таблица1[[#This Row],[Старая цена]]-Таблица1[[#This Row],[Новая цена]])/Таблица1[[#This Row],[Старая цена]],0)</f>
        <v>0.76</v>
      </c>
      <c r="G32" s="5">
        <f>Таблица1[[#This Row],[Старая цена]]-Таблица1[[#This Row],[Новая цена]]</f>
        <v>11248</v>
      </c>
      <c r="H32">
        <v>388</v>
      </c>
    </row>
    <row r="33" spans="1:8" x14ac:dyDescent="0.25">
      <c r="A33" t="s">
        <v>60</v>
      </c>
      <c r="B33" t="s">
        <v>59</v>
      </c>
      <c r="C33" s="2">
        <v>3552</v>
      </c>
      <c r="D33" s="2">
        <v>14800</v>
      </c>
      <c r="E33" s="4" t="s">
        <v>7</v>
      </c>
      <c r="F33" s="3">
        <f>IFERROR((Таблица1[[#This Row],[Старая цена]]-Таблица1[[#This Row],[Новая цена]])/Таблица1[[#This Row],[Старая цена]],0)</f>
        <v>0.76</v>
      </c>
      <c r="G33" s="5">
        <f>Таблица1[[#This Row],[Старая цена]]-Таблица1[[#This Row],[Новая цена]]</f>
        <v>11248</v>
      </c>
      <c r="H33">
        <v>388</v>
      </c>
    </row>
    <row r="34" spans="1:8" x14ac:dyDescent="0.25">
      <c r="A34" t="s">
        <v>82</v>
      </c>
      <c r="B34" t="s">
        <v>81</v>
      </c>
      <c r="C34" s="2">
        <v>3504</v>
      </c>
      <c r="D34" s="2">
        <v>8985</v>
      </c>
      <c r="E34" s="4" t="s">
        <v>7</v>
      </c>
      <c r="F34" s="3">
        <f>IFERROR((Таблица1[[#This Row],[Старая цена]]-Таблица1[[#This Row],[Новая цена]])/Таблица1[[#This Row],[Старая цена]],0)</f>
        <v>0.61001669449081808</v>
      </c>
      <c r="G34" s="5">
        <f>Таблица1[[#This Row],[Старая цена]]-Таблица1[[#This Row],[Новая цена]]</f>
        <v>5481</v>
      </c>
      <c r="H34">
        <v>147</v>
      </c>
    </row>
    <row r="35" spans="1:8" x14ac:dyDescent="0.25">
      <c r="A35" t="s">
        <v>127</v>
      </c>
      <c r="B35" t="s">
        <v>126</v>
      </c>
      <c r="C35" s="2">
        <v>3431</v>
      </c>
      <c r="D35" s="2">
        <v>13197</v>
      </c>
      <c r="E35" s="4" t="s">
        <v>7</v>
      </c>
      <c r="F35" s="3">
        <f>IFERROR((Таблица1[[#This Row],[Старая цена]]-Таблица1[[#This Row],[Новая цена]])/Таблица1[[#This Row],[Старая цена]],0)</f>
        <v>0.74001667045540653</v>
      </c>
      <c r="G35" s="5">
        <f>Таблица1[[#This Row],[Старая цена]]-Таблица1[[#This Row],[Новая цена]]</f>
        <v>9766</v>
      </c>
      <c r="H35">
        <v>22</v>
      </c>
    </row>
    <row r="36" spans="1:8" x14ac:dyDescent="0.25">
      <c r="B36" t="s">
        <v>125</v>
      </c>
      <c r="C36" s="2">
        <v>3313</v>
      </c>
      <c r="D36" s="2">
        <v>23667</v>
      </c>
      <c r="E36" s="4" t="s">
        <v>7</v>
      </c>
      <c r="F36" s="3">
        <f>IFERROR((Таблица1[[#This Row],[Старая цена]]-Таблица1[[#This Row],[Новая цена]])/Таблица1[[#This Row],[Старая цена]],0)</f>
        <v>0.8600160561118857</v>
      </c>
      <c r="G36" s="5">
        <f>Таблица1[[#This Row],[Старая цена]]-Таблица1[[#This Row],[Новая цена]]</f>
        <v>20354</v>
      </c>
      <c r="H36">
        <v>7</v>
      </c>
    </row>
    <row r="37" spans="1:8" x14ac:dyDescent="0.25">
      <c r="A37" t="s">
        <v>27</v>
      </c>
      <c r="B37" t="s">
        <v>26</v>
      </c>
      <c r="C37" s="2">
        <v>2249</v>
      </c>
      <c r="D37" s="2">
        <v>5920</v>
      </c>
      <c r="E37" s="4" t="s">
        <v>7</v>
      </c>
      <c r="F37" s="3">
        <f>IFERROR((Таблица1[[#This Row],[Старая цена]]-Таблица1[[#This Row],[Новая цена]])/Таблица1[[#This Row],[Старая цена]],0)</f>
        <v>0.62010135135135136</v>
      </c>
      <c r="G37" s="5">
        <f>Таблица1[[#This Row],[Старая цена]]-Таблица1[[#This Row],[Новая цена]]</f>
        <v>3671</v>
      </c>
      <c r="H37">
        <v>1395</v>
      </c>
    </row>
    <row r="38" spans="1:8" x14ac:dyDescent="0.25">
      <c r="A38" t="s">
        <v>60</v>
      </c>
      <c r="B38" t="s">
        <v>59</v>
      </c>
      <c r="C38" s="2">
        <v>2200</v>
      </c>
      <c r="D38" s="2">
        <v>6876</v>
      </c>
      <c r="E38" s="4" t="s">
        <v>7</v>
      </c>
      <c r="F38" s="3">
        <f>IFERROR((Таблица1[[#This Row],[Старая цена]]-Таблица1[[#This Row],[Новая цена]])/Таблица1[[#This Row],[Старая цена]],0)</f>
        <v>0.68004653868528209</v>
      </c>
      <c r="G38" s="5">
        <f>Таблица1[[#This Row],[Старая цена]]-Таблица1[[#This Row],[Новая цена]]</f>
        <v>4676</v>
      </c>
      <c r="H38">
        <v>388</v>
      </c>
    </row>
    <row r="39" spans="1:8" x14ac:dyDescent="0.25">
      <c r="A39" t="s">
        <v>60</v>
      </c>
      <c r="B39" t="s">
        <v>59</v>
      </c>
      <c r="C39" s="2">
        <v>2172</v>
      </c>
      <c r="D39" s="2">
        <v>9876</v>
      </c>
      <c r="E39" s="4" t="s">
        <v>7</v>
      </c>
      <c r="F39" s="3">
        <f>IFERROR((Таблица1[[#This Row],[Старая цена]]-Таблица1[[#This Row],[Новая цена]])/Таблица1[[#This Row],[Старая цена]],0)</f>
        <v>0.78007290400972051</v>
      </c>
      <c r="G39" s="5">
        <f>Таблица1[[#This Row],[Старая цена]]-Таблица1[[#This Row],[Новая цена]]</f>
        <v>7704</v>
      </c>
      <c r="H39">
        <v>388</v>
      </c>
    </row>
    <row r="40" spans="1:8" x14ac:dyDescent="0.25">
      <c r="A40" t="s">
        <v>86</v>
      </c>
      <c r="B40" t="s">
        <v>85</v>
      </c>
      <c r="C40" s="2">
        <v>2070</v>
      </c>
      <c r="D40" s="2">
        <v>6900</v>
      </c>
      <c r="E40" s="4" t="s">
        <v>7</v>
      </c>
      <c r="F40" s="3">
        <f>IFERROR((Таблица1[[#This Row],[Старая цена]]-Таблица1[[#This Row],[Новая цена]])/Таблица1[[#This Row],[Старая цена]],0)</f>
        <v>0.7</v>
      </c>
      <c r="G40" s="5">
        <f>Таблица1[[#This Row],[Старая цена]]-Таблица1[[#This Row],[Новая цена]]</f>
        <v>4830</v>
      </c>
      <c r="H40">
        <v>3</v>
      </c>
    </row>
    <row r="41" spans="1:8" x14ac:dyDescent="0.25">
      <c r="A41" t="s">
        <v>25</v>
      </c>
      <c r="B41" t="s">
        <v>35</v>
      </c>
      <c r="C41" s="2">
        <v>1976</v>
      </c>
      <c r="D41" s="2">
        <v>5990</v>
      </c>
      <c r="E41" s="4" t="s">
        <v>7</v>
      </c>
      <c r="F41" s="3">
        <f>IFERROR((Таблица1[[#This Row],[Старая цена]]-Таблица1[[#This Row],[Новая цена]])/Таблица1[[#This Row],[Старая цена]],0)</f>
        <v>0.67011686143572624</v>
      </c>
      <c r="G41" s="5">
        <f>Таблица1[[#This Row],[Старая цена]]-Таблица1[[#This Row],[Новая цена]]</f>
        <v>4014</v>
      </c>
      <c r="H41">
        <v>0</v>
      </c>
    </row>
    <row r="42" spans="1:8" x14ac:dyDescent="0.25">
      <c r="A42" t="s">
        <v>110</v>
      </c>
      <c r="B42" t="s">
        <v>115</v>
      </c>
      <c r="C42" s="2">
        <v>1804</v>
      </c>
      <c r="D42" s="2">
        <v>4100</v>
      </c>
      <c r="E42" s="4" t="s">
        <v>7</v>
      </c>
      <c r="F42" s="3">
        <f>IFERROR((Таблица1[[#This Row],[Старая цена]]-Таблица1[[#This Row],[Новая цена]])/Таблица1[[#This Row],[Старая цена]],0)</f>
        <v>0.56000000000000005</v>
      </c>
      <c r="G42" s="5">
        <f>Таблица1[[#This Row],[Старая цена]]-Таблица1[[#This Row],[Новая цена]]</f>
        <v>2296</v>
      </c>
      <c r="H42">
        <v>90</v>
      </c>
    </row>
    <row r="43" spans="1:8" x14ac:dyDescent="0.25">
      <c r="A43" t="s">
        <v>39</v>
      </c>
      <c r="B43" t="s">
        <v>77</v>
      </c>
      <c r="C43" s="2">
        <v>1799</v>
      </c>
      <c r="D43" s="2">
        <v>25700</v>
      </c>
      <c r="E43" s="4" t="s">
        <v>7</v>
      </c>
      <c r="F43" s="3">
        <f>IFERROR((Таблица1[[#This Row],[Старая цена]]-Таблица1[[#This Row],[Новая цена]])/Таблица1[[#This Row],[Старая цена]],0)</f>
        <v>0.93</v>
      </c>
      <c r="G43" s="5">
        <f>Таблица1[[#This Row],[Старая цена]]-Таблица1[[#This Row],[Новая цена]]</f>
        <v>23901</v>
      </c>
      <c r="H43">
        <v>2319</v>
      </c>
    </row>
    <row r="44" spans="1:8" x14ac:dyDescent="0.25">
      <c r="A44" t="s">
        <v>63</v>
      </c>
      <c r="B44" t="s">
        <v>62</v>
      </c>
      <c r="C44" s="2">
        <v>1796</v>
      </c>
      <c r="D44" s="2">
        <v>4990</v>
      </c>
      <c r="E44" s="4" t="s">
        <v>7</v>
      </c>
      <c r="F44" s="3">
        <f>IFERROR((Таблица1[[#This Row],[Старая цена]]-Таблица1[[#This Row],[Новая цена]])/Таблица1[[#This Row],[Старая цена]],0)</f>
        <v>0.6400801603206413</v>
      </c>
      <c r="G44" s="5">
        <f>Таблица1[[#This Row],[Старая цена]]-Таблица1[[#This Row],[Новая цена]]</f>
        <v>3194</v>
      </c>
      <c r="H44">
        <v>63</v>
      </c>
    </row>
    <row r="45" spans="1:8" x14ac:dyDescent="0.25">
      <c r="A45" t="s">
        <v>23</v>
      </c>
      <c r="B45" t="s">
        <v>22</v>
      </c>
      <c r="C45" s="2">
        <v>1773</v>
      </c>
      <c r="D45" s="2">
        <v>12671</v>
      </c>
      <c r="E45" s="4" t="s">
        <v>7</v>
      </c>
      <c r="F45" s="3">
        <f>IFERROR((Таблица1[[#This Row],[Старая цена]]-Таблица1[[#This Row],[Новая цена]])/Таблица1[[#This Row],[Старая цена]],0)</f>
        <v>0.86007418514718648</v>
      </c>
      <c r="G45" s="5">
        <f>Таблица1[[#This Row],[Старая цена]]-Таблица1[[#This Row],[Новая цена]]</f>
        <v>10898</v>
      </c>
      <c r="H45">
        <v>244</v>
      </c>
    </row>
    <row r="46" spans="1:8" x14ac:dyDescent="0.25">
      <c r="A46" t="s">
        <v>69</v>
      </c>
      <c r="B46" t="s">
        <v>68</v>
      </c>
      <c r="C46" s="2">
        <v>1763</v>
      </c>
      <c r="D46" s="2">
        <v>2799</v>
      </c>
      <c r="E46" s="4" t="s">
        <v>7</v>
      </c>
      <c r="F46" s="3">
        <f>IFERROR((Таблица1[[#This Row],[Старая цена]]-Таблица1[[#This Row],[Новая цена]])/Таблица1[[#This Row],[Старая цена]],0)</f>
        <v>0.37013219006788139</v>
      </c>
      <c r="G46" s="5">
        <f>Таблица1[[#This Row],[Старая цена]]-Таблица1[[#This Row],[Новая цена]]</f>
        <v>1036</v>
      </c>
      <c r="H46">
        <v>9</v>
      </c>
    </row>
    <row r="47" spans="1:8" x14ac:dyDescent="0.25">
      <c r="A47" t="s">
        <v>9</v>
      </c>
      <c r="B47" t="s">
        <v>8</v>
      </c>
      <c r="C47" s="2">
        <v>1742</v>
      </c>
      <c r="D47" s="2">
        <v>6700</v>
      </c>
      <c r="E47" s="4" t="s">
        <v>7</v>
      </c>
      <c r="F47" s="3">
        <f>IFERROR((Таблица1[[#This Row],[Старая цена]]-Таблица1[[#This Row],[Новая цена]])/Таблица1[[#This Row],[Старая цена]],0)</f>
        <v>0.74</v>
      </c>
      <c r="G47">
        <f>Таблица1[[#This Row],[Старая цена]]-Таблица1[[#This Row],[Новая цена]]</f>
        <v>4958</v>
      </c>
      <c r="H47">
        <v>91</v>
      </c>
    </row>
    <row r="48" spans="1:8" x14ac:dyDescent="0.25">
      <c r="A48" t="s">
        <v>119</v>
      </c>
      <c r="B48" t="s">
        <v>118</v>
      </c>
      <c r="C48" s="2">
        <v>1719</v>
      </c>
      <c r="D48" s="2">
        <v>3999</v>
      </c>
      <c r="E48" s="4" t="s">
        <v>7</v>
      </c>
      <c r="F48" s="3">
        <f>IFERROR((Таблица1[[#This Row],[Старая цена]]-Таблица1[[#This Row],[Новая цена]])/Таблица1[[#This Row],[Старая цена]],0)</f>
        <v>0.57014253563390849</v>
      </c>
      <c r="G48" s="5">
        <f>Таблица1[[#This Row],[Старая цена]]-Таблица1[[#This Row],[Новая цена]]</f>
        <v>2280</v>
      </c>
      <c r="H48">
        <v>14</v>
      </c>
    </row>
    <row r="49" spans="1:8" x14ac:dyDescent="0.25">
      <c r="A49" t="s">
        <v>123</v>
      </c>
      <c r="B49" t="s">
        <v>122</v>
      </c>
      <c r="C49" s="2">
        <v>1679</v>
      </c>
      <c r="D49" s="2">
        <v>11995</v>
      </c>
      <c r="E49" s="4" t="s">
        <v>7</v>
      </c>
      <c r="F49" s="3">
        <f>IFERROR((Таблица1[[#This Row],[Старая цена]]-Таблица1[[#This Row],[Новая цена]])/Таблица1[[#This Row],[Старая цена]],0)</f>
        <v>0.86002501042100876</v>
      </c>
      <c r="G49" s="5">
        <f>Таблица1[[#This Row],[Старая цена]]-Таблица1[[#This Row],[Новая цена]]</f>
        <v>10316</v>
      </c>
      <c r="H49">
        <v>1615</v>
      </c>
    </row>
    <row r="50" spans="1:8" x14ac:dyDescent="0.25">
      <c r="A50" t="s">
        <v>72</v>
      </c>
      <c r="B50" t="s">
        <v>71</v>
      </c>
      <c r="C50" s="2">
        <v>1679</v>
      </c>
      <c r="D50" s="2">
        <v>23999</v>
      </c>
      <c r="E50" s="4" t="s">
        <v>7</v>
      </c>
      <c r="F50" s="3">
        <f>IFERROR((Таблица1[[#This Row],[Старая цена]]-Таблица1[[#This Row],[Новая цена]])/Таблица1[[#This Row],[Старая цена]],0)</f>
        <v>0.93003875161465066</v>
      </c>
      <c r="G50" s="5">
        <f>Таблица1[[#This Row],[Старая цена]]-Таблица1[[#This Row],[Новая цена]]</f>
        <v>22320</v>
      </c>
      <c r="H50">
        <v>300</v>
      </c>
    </row>
    <row r="51" spans="1:8" x14ac:dyDescent="0.25">
      <c r="A51" t="s">
        <v>25</v>
      </c>
      <c r="B51" t="s">
        <v>24</v>
      </c>
      <c r="C51" s="2">
        <v>1677</v>
      </c>
      <c r="D51" s="2">
        <v>5990</v>
      </c>
      <c r="E51" s="4" t="s">
        <v>7</v>
      </c>
      <c r="F51" s="3">
        <f>IFERROR((Таблица1[[#This Row],[Старая цена]]-Таблица1[[#This Row],[Новая цена]])/Таблица1[[#This Row],[Старая цена]],0)</f>
        <v>0.72003338898163605</v>
      </c>
      <c r="G51" s="5">
        <f>Таблица1[[#This Row],[Старая цена]]-Таблица1[[#This Row],[Новая цена]]</f>
        <v>4313</v>
      </c>
      <c r="H51">
        <v>63</v>
      </c>
    </row>
    <row r="52" spans="1:8" x14ac:dyDescent="0.25">
      <c r="A52" t="s">
        <v>50</v>
      </c>
      <c r="B52" t="s">
        <v>61</v>
      </c>
      <c r="C52" s="2">
        <v>1670</v>
      </c>
      <c r="D52" s="2">
        <v>7957</v>
      </c>
      <c r="E52" s="4" t="s">
        <v>7</v>
      </c>
      <c r="F52" s="3">
        <f>IFERROR((Таблица1[[#This Row],[Старая цена]]-Таблица1[[#This Row],[Новая цена]])/Таблица1[[#This Row],[Старая цена]],0)</f>
        <v>0.79012190524066861</v>
      </c>
      <c r="G52" s="5">
        <f>Таблица1[[#This Row],[Старая цена]]-Таблица1[[#This Row],[Новая цена]]</f>
        <v>6287</v>
      </c>
      <c r="H52">
        <v>874</v>
      </c>
    </row>
    <row r="53" spans="1:8" x14ac:dyDescent="0.25">
      <c r="A53" t="s">
        <v>7</v>
      </c>
      <c r="B53" t="s">
        <v>58</v>
      </c>
      <c r="C53" s="2">
        <v>1661</v>
      </c>
      <c r="D53" s="2">
        <v>4490</v>
      </c>
      <c r="E53" s="4" t="s">
        <v>7</v>
      </c>
      <c r="F53" s="3">
        <f>IFERROR((Таблица1[[#This Row],[Старая цена]]-Таблица1[[#This Row],[Новая цена]])/Таблица1[[#This Row],[Старая цена]],0)</f>
        <v>0.63006681514476615</v>
      </c>
      <c r="G53" s="5">
        <f>Таблица1[[#This Row],[Старая цена]]-Таблица1[[#This Row],[Новая цена]]</f>
        <v>2829</v>
      </c>
      <c r="H53">
        <v>126</v>
      </c>
    </row>
    <row r="54" spans="1:8" x14ac:dyDescent="0.25">
      <c r="A54" t="s">
        <v>50</v>
      </c>
      <c r="B54" t="s">
        <v>49</v>
      </c>
      <c r="C54" s="2">
        <v>1653</v>
      </c>
      <c r="D54" s="2">
        <v>2505</v>
      </c>
      <c r="E54" s="4" t="s">
        <v>7</v>
      </c>
      <c r="F54" s="3">
        <f>IFERROR((Таблица1[[#This Row],[Старая цена]]-Таблица1[[#This Row],[Новая цена]])/Таблица1[[#This Row],[Старая цена]],0)</f>
        <v>0.34011976047904191</v>
      </c>
      <c r="G54" s="5">
        <f>Таблица1[[#This Row],[Старая цена]]-Таблица1[[#This Row],[Новая цена]]</f>
        <v>852</v>
      </c>
      <c r="H54">
        <v>332</v>
      </c>
    </row>
    <row r="55" spans="1:8" x14ac:dyDescent="0.25">
      <c r="A55" t="s">
        <v>101</v>
      </c>
      <c r="B55" t="s">
        <v>100</v>
      </c>
      <c r="C55" s="2">
        <v>1650</v>
      </c>
      <c r="D55" s="2">
        <v>5500</v>
      </c>
      <c r="E55" s="4" t="s">
        <v>7</v>
      </c>
      <c r="F55" s="3">
        <f>IFERROR((Таблица1[[#This Row],[Старая цена]]-Таблица1[[#This Row],[Новая цена]])/Таблица1[[#This Row],[Старая цена]],0)</f>
        <v>0.7</v>
      </c>
      <c r="G55" s="5">
        <f>Таблица1[[#This Row],[Старая цена]]-Таблица1[[#This Row],[Новая цена]]</f>
        <v>3850</v>
      </c>
      <c r="H55">
        <v>11</v>
      </c>
    </row>
    <row r="56" spans="1:8" x14ac:dyDescent="0.25">
      <c r="A56" t="s">
        <v>37</v>
      </c>
      <c r="B56" t="s">
        <v>36</v>
      </c>
      <c r="C56" s="2">
        <v>1630</v>
      </c>
      <c r="D56" s="2">
        <v>5094</v>
      </c>
      <c r="E56" s="4" t="s">
        <v>7</v>
      </c>
      <c r="F56" s="3">
        <f>IFERROR((Таблица1[[#This Row],[Старая цена]]-Таблица1[[#This Row],[Новая цена]])/Таблица1[[#This Row],[Старая цена]],0)</f>
        <v>0.68001570475068707</v>
      </c>
      <c r="G56" s="5">
        <f>Таблица1[[#This Row],[Старая цена]]-Таблица1[[#This Row],[Новая цена]]</f>
        <v>3464</v>
      </c>
      <c r="H56">
        <v>192</v>
      </c>
    </row>
    <row r="57" spans="1:8" x14ac:dyDescent="0.25">
      <c r="A57" t="s">
        <v>37</v>
      </c>
      <c r="B57" t="s">
        <v>36</v>
      </c>
      <c r="C57" s="2">
        <v>1630</v>
      </c>
      <c r="D57" s="2">
        <v>4940</v>
      </c>
      <c r="E57" s="4" t="s">
        <v>7</v>
      </c>
      <c r="F57" s="3">
        <f>IFERROR((Таблица1[[#This Row],[Старая цена]]-Таблица1[[#This Row],[Новая цена]])/Таблица1[[#This Row],[Старая цена]],0)</f>
        <v>0.67004048582995956</v>
      </c>
      <c r="G57" s="5">
        <f>Таблица1[[#This Row],[Старая цена]]-Таблица1[[#This Row],[Новая цена]]</f>
        <v>3310</v>
      </c>
      <c r="H57">
        <v>126</v>
      </c>
    </row>
    <row r="58" spans="1:8" x14ac:dyDescent="0.25">
      <c r="A58" t="s">
        <v>137</v>
      </c>
      <c r="B58" t="s">
        <v>136</v>
      </c>
      <c r="C58" s="2">
        <v>1616</v>
      </c>
      <c r="D58" s="2">
        <v>10100</v>
      </c>
      <c r="E58" s="4" t="s">
        <v>7</v>
      </c>
      <c r="F58" s="3">
        <f>IFERROR((Таблица1[[#This Row],[Старая цена]]-Таблица1[[#This Row],[Новая цена]])/Таблица1[[#This Row],[Старая цена]],0)</f>
        <v>0.84</v>
      </c>
      <c r="G58" s="5">
        <f>Таблица1[[#This Row],[Старая цена]]-Таблица1[[#This Row],[Новая цена]]</f>
        <v>8484</v>
      </c>
      <c r="H58">
        <v>341</v>
      </c>
    </row>
    <row r="59" spans="1:8" x14ac:dyDescent="0.25">
      <c r="A59" t="s">
        <v>21</v>
      </c>
      <c r="B59" t="s">
        <v>133</v>
      </c>
      <c r="C59" s="2">
        <v>1599</v>
      </c>
      <c r="D59" s="2">
        <v>7996</v>
      </c>
      <c r="E59" s="4" t="s">
        <v>7</v>
      </c>
      <c r="F59" s="3">
        <f>IFERROR((Таблица1[[#This Row],[Старая цена]]-Таблица1[[#This Row],[Новая цена]])/Таблица1[[#This Row],[Старая цена]],0)</f>
        <v>0.80002501250625313</v>
      </c>
      <c r="G59" s="5">
        <f>Таблица1[[#This Row],[Старая цена]]-Таблица1[[#This Row],[Новая цена]]</f>
        <v>6397</v>
      </c>
      <c r="H59">
        <v>547</v>
      </c>
    </row>
    <row r="60" spans="1:8" x14ac:dyDescent="0.25">
      <c r="A60" t="s">
        <v>21</v>
      </c>
      <c r="B60" t="s">
        <v>20</v>
      </c>
      <c r="C60" s="2">
        <v>1598</v>
      </c>
      <c r="D60" s="2">
        <v>19980</v>
      </c>
      <c r="E60" s="4" t="s">
        <v>7</v>
      </c>
      <c r="F60" s="3">
        <f>IFERROR((Таблица1[[#This Row],[Старая цена]]-Таблица1[[#This Row],[Новая цена]])/Таблица1[[#This Row],[Старая цена]],0)</f>
        <v>0.92002002002002004</v>
      </c>
      <c r="G60" s="5">
        <f>Таблица1[[#This Row],[Старая цена]]-Таблица1[[#This Row],[Новая цена]]</f>
        <v>18382</v>
      </c>
      <c r="H60">
        <v>2335</v>
      </c>
    </row>
    <row r="61" spans="1:8" x14ac:dyDescent="0.25">
      <c r="A61" t="s">
        <v>17</v>
      </c>
      <c r="B61" t="s">
        <v>16</v>
      </c>
      <c r="C61" s="2">
        <v>1579</v>
      </c>
      <c r="D61" s="2">
        <v>3159</v>
      </c>
      <c r="E61" s="4" t="s">
        <v>7</v>
      </c>
      <c r="F61" s="3">
        <f>IFERROR((Таблица1[[#This Row],[Старая цена]]-Таблица1[[#This Row],[Новая цена]])/Таблица1[[#This Row],[Старая цена]],0)</f>
        <v>0.50015827793605572</v>
      </c>
      <c r="G61" s="5">
        <f>Таблица1[[#This Row],[Старая цена]]-Таблица1[[#This Row],[Новая цена]]</f>
        <v>1580</v>
      </c>
      <c r="H61">
        <v>1270</v>
      </c>
    </row>
    <row r="62" spans="1:8" x14ac:dyDescent="0.25">
      <c r="A62" t="s">
        <v>15</v>
      </c>
      <c r="B62" t="s">
        <v>14</v>
      </c>
      <c r="C62" s="2">
        <v>1579</v>
      </c>
      <c r="D62" s="2">
        <v>22558</v>
      </c>
      <c r="E62" s="4" t="s">
        <v>7</v>
      </c>
      <c r="F62" s="3">
        <f>IFERROR((Таблица1[[#This Row],[Старая цена]]-Таблица1[[#This Row],[Новая цена]])/Таблица1[[#This Row],[Старая цена]],0)</f>
        <v>0.93000265981026686</v>
      </c>
      <c r="G62" s="5">
        <f>Таблица1[[#This Row],[Старая цена]]-Таблица1[[#This Row],[Новая цена]]</f>
        <v>20979</v>
      </c>
      <c r="H62">
        <v>1258</v>
      </c>
    </row>
    <row r="63" spans="1:8" x14ac:dyDescent="0.25">
      <c r="A63" t="s">
        <v>44</v>
      </c>
      <c r="B63" t="s">
        <v>43</v>
      </c>
      <c r="C63" s="2">
        <v>1562</v>
      </c>
      <c r="D63" s="2">
        <v>3550</v>
      </c>
      <c r="E63" s="4" t="s">
        <v>7</v>
      </c>
      <c r="F63" s="3">
        <f>IFERROR((Таблица1[[#This Row],[Старая цена]]-Таблица1[[#This Row],[Новая цена]])/Таблица1[[#This Row],[Старая цена]],0)</f>
        <v>0.56000000000000005</v>
      </c>
      <c r="G63" s="5">
        <f>Таблица1[[#This Row],[Старая цена]]-Таблица1[[#This Row],[Новая цена]]</f>
        <v>1988</v>
      </c>
      <c r="H63">
        <v>195</v>
      </c>
    </row>
    <row r="64" spans="1:8" x14ac:dyDescent="0.25">
      <c r="A64" t="s">
        <v>108</v>
      </c>
      <c r="B64" t="s">
        <v>107</v>
      </c>
      <c r="C64" s="2">
        <v>1558</v>
      </c>
      <c r="D64" s="2">
        <v>4871</v>
      </c>
      <c r="E64" s="4" t="s">
        <v>7</v>
      </c>
      <c r="F64" s="3">
        <f>IFERROR((Таблица1[[#This Row],[Старая цена]]-Таблица1[[#This Row],[Новая цена]])/Таблица1[[#This Row],[Старая цена]],0)</f>
        <v>0.68014781359063847</v>
      </c>
      <c r="G64" s="5">
        <f>Таблица1[[#This Row],[Старая цена]]-Таблица1[[#This Row],[Новая цена]]</f>
        <v>3313</v>
      </c>
      <c r="H64">
        <v>10</v>
      </c>
    </row>
    <row r="65" spans="1:8" x14ac:dyDescent="0.25">
      <c r="A65" t="s">
        <v>17</v>
      </c>
      <c r="B65" t="s">
        <v>28</v>
      </c>
      <c r="C65" s="2">
        <v>1548</v>
      </c>
      <c r="D65" s="2">
        <v>3600</v>
      </c>
      <c r="E65" s="4" t="s">
        <v>7</v>
      </c>
      <c r="F65" s="3">
        <f>IFERROR((Таблица1[[#This Row],[Старая цена]]-Таблица1[[#This Row],[Новая цена]])/Таблица1[[#This Row],[Старая цена]],0)</f>
        <v>0.56999999999999995</v>
      </c>
      <c r="G65" s="5">
        <f>Таблица1[[#This Row],[Старая цена]]-Таблица1[[#This Row],[Новая цена]]</f>
        <v>2052</v>
      </c>
      <c r="H65">
        <v>662</v>
      </c>
    </row>
    <row r="66" spans="1:8" x14ac:dyDescent="0.25">
      <c r="A66" t="s">
        <v>46</v>
      </c>
      <c r="B66" t="s">
        <v>45</v>
      </c>
      <c r="C66" s="2">
        <v>1548</v>
      </c>
      <c r="D66" s="2">
        <v>2419</v>
      </c>
      <c r="E66" s="4" t="s">
        <v>7</v>
      </c>
      <c r="F66" s="3">
        <f>IFERROR((Таблица1[[#This Row],[Старая цена]]-Таблица1[[#This Row],[Новая цена]])/Таблица1[[#This Row],[Старая цена]],0)</f>
        <v>0.36006614303431173</v>
      </c>
      <c r="G66" s="5">
        <f>Таблица1[[#This Row],[Старая цена]]-Таблица1[[#This Row],[Новая цена]]</f>
        <v>871</v>
      </c>
      <c r="H66">
        <v>26</v>
      </c>
    </row>
    <row r="67" spans="1:8" x14ac:dyDescent="0.25">
      <c r="A67" t="s">
        <v>89</v>
      </c>
      <c r="B67" t="s">
        <v>88</v>
      </c>
      <c r="C67" s="2">
        <v>1516</v>
      </c>
      <c r="D67" s="2">
        <v>3990</v>
      </c>
      <c r="E67" s="4" t="s">
        <v>7</v>
      </c>
      <c r="F67" s="3">
        <f>IFERROR((Таблица1[[#This Row],[Старая цена]]-Таблица1[[#This Row],[Новая цена]])/Таблица1[[#This Row],[Старая цена]],0)</f>
        <v>0.62005012531328318</v>
      </c>
      <c r="G67" s="5">
        <f>Таблица1[[#This Row],[Старая цена]]-Таблица1[[#This Row],[Новая цена]]</f>
        <v>2474</v>
      </c>
      <c r="H67">
        <v>57</v>
      </c>
    </row>
    <row r="68" spans="1:8" x14ac:dyDescent="0.25">
      <c r="A68" t="s">
        <v>11</v>
      </c>
      <c r="B68" t="s">
        <v>10</v>
      </c>
      <c r="C68" s="2">
        <v>1500</v>
      </c>
      <c r="D68" s="2">
        <v>3000</v>
      </c>
      <c r="E68" s="4" t="s">
        <v>7</v>
      </c>
      <c r="F68" s="3">
        <f>IFERROR((Таблица1[[#This Row],[Старая цена]]-Таблица1[[#This Row],[Новая цена]])/Таблица1[[#This Row],[Старая цена]],0)</f>
        <v>0.5</v>
      </c>
      <c r="G68" s="5">
        <f>Таблица1[[#This Row],[Старая цена]]-Таблица1[[#This Row],[Новая цена]]</f>
        <v>1500</v>
      </c>
      <c r="H68">
        <v>137</v>
      </c>
    </row>
    <row r="69" spans="1:8" x14ac:dyDescent="0.25">
      <c r="A69" t="s">
        <v>75</v>
      </c>
      <c r="B69" t="s">
        <v>74</v>
      </c>
      <c r="C69" s="2">
        <v>1500</v>
      </c>
      <c r="E69" s="4" t="s">
        <v>7</v>
      </c>
      <c r="F69" s="3">
        <f>IFERROR((Таблица1[[#This Row],[Старая цена]]-Таблица1[[#This Row],[Новая цена]])/Таблица1[[#This Row],[Старая цена]],0)</f>
        <v>0</v>
      </c>
      <c r="G69" s="5">
        <f>Таблица1[[#This Row],[Старая цена]]-Таблица1[[#This Row],[Новая цена]]</f>
        <v>-1500</v>
      </c>
      <c r="H69">
        <v>107</v>
      </c>
    </row>
    <row r="70" spans="1:8" x14ac:dyDescent="0.25">
      <c r="A70" t="s">
        <v>93</v>
      </c>
      <c r="B70" t="s">
        <v>92</v>
      </c>
      <c r="C70" s="2">
        <v>1499</v>
      </c>
      <c r="D70" s="2">
        <v>2884</v>
      </c>
      <c r="E70" s="4" t="s">
        <v>7</v>
      </c>
      <c r="F70" s="3">
        <f>IFERROR((Таблица1[[#This Row],[Старая цена]]-Таблица1[[#This Row],[Новая цена]])/Таблица1[[#This Row],[Старая цена]],0)</f>
        <v>0.4802357836338419</v>
      </c>
      <c r="G70" s="5">
        <f>Таблица1[[#This Row],[Старая цена]]-Таблица1[[#This Row],[Новая цена]]</f>
        <v>1385</v>
      </c>
      <c r="H70">
        <v>146</v>
      </c>
    </row>
    <row r="71" spans="1:8" x14ac:dyDescent="0.25">
      <c r="A71" t="s">
        <v>69</v>
      </c>
      <c r="B71" t="s">
        <v>10</v>
      </c>
      <c r="C71" s="2">
        <v>1475</v>
      </c>
      <c r="D71" s="2">
        <v>2500</v>
      </c>
      <c r="E71" s="4" t="s">
        <v>7</v>
      </c>
      <c r="F71" s="3">
        <f>IFERROR((Таблица1[[#This Row],[Старая цена]]-Таблица1[[#This Row],[Новая цена]])/Таблица1[[#This Row],[Старая цена]],0)</f>
        <v>0.41</v>
      </c>
      <c r="G71" s="5">
        <f>Таблица1[[#This Row],[Старая цена]]-Таблица1[[#This Row],[Новая цена]]</f>
        <v>1025</v>
      </c>
      <c r="H71">
        <v>40</v>
      </c>
    </row>
    <row r="72" spans="1:8" x14ac:dyDescent="0.25">
      <c r="A72" t="s">
        <v>106</v>
      </c>
      <c r="B72" t="s">
        <v>105</v>
      </c>
      <c r="C72" s="2">
        <v>1440</v>
      </c>
      <c r="D72" s="2">
        <v>4000</v>
      </c>
      <c r="E72" s="4" t="s">
        <v>7</v>
      </c>
      <c r="F72" s="3">
        <f>IFERROR((Таблица1[[#This Row],[Старая цена]]-Таблица1[[#This Row],[Новая цена]])/Таблица1[[#This Row],[Старая цена]],0)</f>
        <v>0.64</v>
      </c>
      <c r="G72" s="5">
        <f>Таблица1[[#This Row],[Старая цена]]-Таблица1[[#This Row],[Новая цена]]</f>
        <v>2560</v>
      </c>
      <c r="H72">
        <v>59</v>
      </c>
    </row>
    <row r="73" spans="1:8" x14ac:dyDescent="0.25">
      <c r="A73" t="s">
        <v>139</v>
      </c>
      <c r="B73" t="s">
        <v>138</v>
      </c>
      <c r="C73" s="2">
        <v>1437</v>
      </c>
      <c r="D73" s="2">
        <v>28741</v>
      </c>
      <c r="E73" s="4" t="s">
        <v>7</v>
      </c>
      <c r="F73" s="3">
        <f>IFERROR((Таблица1[[#This Row],[Старая цена]]-Таблица1[[#This Row],[Новая цена]])/Таблица1[[#This Row],[Старая цена]],0)</f>
        <v>0.95000173967502866</v>
      </c>
      <c r="G73" s="5">
        <f>Таблица1[[#This Row],[Старая цена]]-Таблица1[[#This Row],[Новая цена]]</f>
        <v>27304</v>
      </c>
      <c r="H73">
        <v>92</v>
      </c>
    </row>
    <row r="74" spans="1:8" x14ac:dyDescent="0.25">
      <c r="A74" t="s">
        <v>132</v>
      </c>
      <c r="B74" t="s">
        <v>131</v>
      </c>
      <c r="C74" s="2">
        <v>1399</v>
      </c>
      <c r="D74" s="2">
        <v>1999</v>
      </c>
      <c r="E74" s="4" t="s">
        <v>7</v>
      </c>
      <c r="F74" s="3">
        <f>IFERROR((Таблица1[[#This Row],[Старая цена]]-Таблица1[[#This Row],[Новая цена]])/Таблица1[[#This Row],[Старая цена]],0)</f>
        <v>0.30015007503751878</v>
      </c>
      <c r="G74" s="5">
        <f>Таблица1[[#This Row],[Старая цена]]-Таблица1[[#This Row],[Новая цена]]</f>
        <v>600</v>
      </c>
      <c r="H74">
        <v>27</v>
      </c>
    </row>
    <row r="75" spans="1:8" x14ac:dyDescent="0.25">
      <c r="A75" t="s">
        <v>99</v>
      </c>
      <c r="B75" t="s">
        <v>98</v>
      </c>
      <c r="C75" s="2">
        <v>1375</v>
      </c>
      <c r="D75" s="2">
        <v>2500</v>
      </c>
      <c r="E75" s="4" t="s">
        <v>7</v>
      </c>
      <c r="F75" s="3">
        <f>IFERROR((Таблица1[[#This Row],[Старая цена]]-Таблица1[[#This Row],[Новая цена]])/Таблица1[[#This Row],[Старая цена]],0)</f>
        <v>0.45</v>
      </c>
      <c r="G75" s="5">
        <f>Таблица1[[#This Row],[Старая цена]]-Таблица1[[#This Row],[Новая цена]]</f>
        <v>1125</v>
      </c>
      <c r="H75">
        <v>7</v>
      </c>
    </row>
    <row r="76" spans="1:8" x14ac:dyDescent="0.25">
      <c r="A76" t="s">
        <v>55</v>
      </c>
      <c r="B76" t="s">
        <v>54</v>
      </c>
      <c r="C76" s="2">
        <v>1370</v>
      </c>
      <c r="D76" s="2">
        <v>6850</v>
      </c>
      <c r="E76" s="4" t="s">
        <v>7</v>
      </c>
      <c r="F76" s="3">
        <f>IFERROR((Таблица1[[#This Row],[Старая цена]]-Таблица1[[#This Row],[Новая цена]])/Таблица1[[#This Row],[Старая цена]],0)</f>
        <v>0.8</v>
      </c>
      <c r="G76" s="5">
        <f>Таблица1[[#This Row],[Старая цена]]-Таблица1[[#This Row],[Новая цена]]</f>
        <v>5480</v>
      </c>
      <c r="H76">
        <v>5</v>
      </c>
    </row>
    <row r="77" spans="1:8" x14ac:dyDescent="0.25">
      <c r="A77" t="s">
        <v>116</v>
      </c>
      <c r="B77" t="s">
        <v>36</v>
      </c>
      <c r="C77" s="2">
        <v>1363</v>
      </c>
      <c r="D77" s="2">
        <v>2199</v>
      </c>
      <c r="E77" s="4" t="s">
        <v>7</v>
      </c>
      <c r="F77" s="3">
        <f>IFERROR((Таблица1[[#This Row],[Старая цена]]-Таблица1[[#This Row],[Новая цена]])/Таблица1[[#This Row],[Старая цена]],0)</f>
        <v>0.38017280582082763</v>
      </c>
      <c r="G77" s="5">
        <f>Таблица1[[#This Row],[Старая цена]]-Таблица1[[#This Row],[Новая цена]]</f>
        <v>836</v>
      </c>
      <c r="H77">
        <v>22</v>
      </c>
    </row>
    <row r="78" spans="1:8" x14ac:dyDescent="0.25">
      <c r="A78" t="s">
        <v>110</v>
      </c>
      <c r="B78" t="s">
        <v>109</v>
      </c>
      <c r="C78" s="2">
        <v>1350</v>
      </c>
      <c r="D78" s="2">
        <v>3000</v>
      </c>
      <c r="E78" s="4" t="s">
        <v>7</v>
      </c>
      <c r="F78" s="3">
        <f>IFERROR((Таблица1[[#This Row],[Старая цена]]-Таблица1[[#This Row],[Новая цена]])/Таблица1[[#This Row],[Старая цена]],0)</f>
        <v>0.55000000000000004</v>
      </c>
      <c r="G78" s="5">
        <f>Таблица1[[#This Row],[Старая цена]]-Таблица1[[#This Row],[Новая цена]]</f>
        <v>1650</v>
      </c>
      <c r="H78">
        <v>9</v>
      </c>
    </row>
    <row r="79" spans="1:8" x14ac:dyDescent="0.25">
      <c r="A79" t="s">
        <v>30</v>
      </c>
      <c r="B79" t="s">
        <v>29</v>
      </c>
      <c r="C79" s="2">
        <v>1340</v>
      </c>
      <c r="D79" s="2">
        <v>2735</v>
      </c>
      <c r="E79" s="4" t="s">
        <v>7</v>
      </c>
      <c r="F79" s="3">
        <f>IFERROR((Таблица1[[#This Row],[Старая цена]]-Таблица1[[#This Row],[Новая цена]])/Таблица1[[#This Row],[Старая цена]],0)</f>
        <v>0.51005484460694694</v>
      </c>
      <c r="G79" s="5">
        <f>Таблица1[[#This Row],[Старая цена]]-Таблица1[[#This Row],[Новая цена]]</f>
        <v>1395</v>
      </c>
      <c r="H79">
        <v>51</v>
      </c>
    </row>
    <row r="80" spans="1:8" x14ac:dyDescent="0.25">
      <c r="A80" t="s">
        <v>149</v>
      </c>
      <c r="B80" t="s">
        <v>148</v>
      </c>
      <c r="C80" s="2">
        <v>1338</v>
      </c>
      <c r="D80" s="2">
        <v>3347</v>
      </c>
      <c r="E80" s="4" t="s">
        <v>7</v>
      </c>
      <c r="F80" s="3">
        <f>IFERROR((Таблица1[[#This Row],[Старая цена]]-Таблица1[[#This Row],[Новая цена]])/Таблица1[[#This Row],[Старая цена]],0)</f>
        <v>0.60023902001792651</v>
      </c>
      <c r="G80" s="5">
        <f>Таблица1[[#This Row],[Старая цена]]-Таблица1[[#This Row],[Новая цена]]</f>
        <v>2009</v>
      </c>
      <c r="H80">
        <v>329</v>
      </c>
    </row>
    <row r="81" spans="1:8" x14ac:dyDescent="0.25">
      <c r="A81" t="s">
        <v>114</v>
      </c>
      <c r="B81" t="s">
        <v>113</v>
      </c>
      <c r="C81" s="2">
        <v>1326</v>
      </c>
      <c r="D81" s="2">
        <v>2600</v>
      </c>
      <c r="E81" s="4" t="s">
        <v>7</v>
      </c>
      <c r="F81" s="3">
        <f>IFERROR((Таблица1[[#This Row],[Старая цена]]-Таблица1[[#This Row],[Новая цена]])/Таблица1[[#This Row],[Старая цена]],0)</f>
        <v>0.49</v>
      </c>
      <c r="G81" s="5">
        <f>Таблица1[[#This Row],[Старая цена]]-Таблица1[[#This Row],[Новая цена]]</f>
        <v>1274</v>
      </c>
      <c r="H81">
        <v>72</v>
      </c>
    </row>
    <row r="82" spans="1:8" x14ac:dyDescent="0.25">
      <c r="A82" t="s">
        <v>114</v>
      </c>
      <c r="B82" t="s">
        <v>113</v>
      </c>
      <c r="C82" s="2">
        <v>1326</v>
      </c>
      <c r="D82" s="2">
        <v>2600</v>
      </c>
      <c r="E82" s="4" t="s">
        <v>7</v>
      </c>
      <c r="F82" s="3">
        <f>IFERROR((Таблица1[[#This Row],[Старая цена]]-Таблица1[[#This Row],[Новая цена]])/Таблица1[[#This Row],[Старая цена]],0)</f>
        <v>0.49</v>
      </c>
      <c r="G82" s="5">
        <f>Таблица1[[#This Row],[Старая цена]]-Таблица1[[#This Row],[Новая цена]]</f>
        <v>1274</v>
      </c>
      <c r="H82">
        <v>72</v>
      </c>
    </row>
    <row r="83" spans="1:8" x14ac:dyDescent="0.25">
      <c r="A83" t="s">
        <v>141</v>
      </c>
      <c r="B83" t="s">
        <v>140</v>
      </c>
      <c r="C83" s="2">
        <v>1290</v>
      </c>
      <c r="E83" s="4" t="s">
        <v>7</v>
      </c>
      <c r="F83" s="3">
        <f>IFERROR((Таблица1[[#This Row],[Старая цена]]-Таблица1[[#This Row],[Новая цена]])/Таблица1[[#This Row],[Старая цена]],0)</f>
        <v>0</v>
      </c>
      <c r="G83" s="5">
        <f>Таблица1[[#This Row],[Старая цена]]-Таблица1[[#This Row],[Новая цена]]</f>
        <v>-1290</v>
      </c>
      <c r="H83">
        <v>184</v>
      </c>
    </row>
    <row r="84" spans="1:8" x14ac:dyDescent="0.25">
      <c r="A84" t="s">
        <v>25</v>
      </c>
      <c r="B84" t="s">
        <v>42</v>
      </c>
      <c r="C84" s="2">
        <v>1247</v>
      </c>
      <c r="D84" s="2">
        <v>4990</v>
      </c>
      <c r="E84" s="4" t="s">
        <v>7</v>
      </c>
      <c r="F84" s="3">
        <f>IFERROR((Таблица1[[#This Row],[Старая цена]]-Таблица1[[#This Row],[Новая цена]])/Таблица1[[#This Row],[Старая цена]],0)</f>
        <v>0.75010020040080161</v>
      </c>
      <c r="G84" s="5">
        <f>Таблица1[[#This Row],[Старая цена]]-Таблица1[[#This Row],[Новая цена]]</f>
        <v>3743</v>
      </c>
      <c r="H84">
        <v>324</v>
      </c>
    </row>
    <row r="85" spans="1:8" x14ac:dyDescent="0.25">
      <c r="A85" t="s">
        <v>121</v>
      </c>
      <c r="B85" t="s">
        <v>120</v>
      </c>
      <c r="C85" s="2">
        <v>1100</v>
      </c>
      <c r="D85" s="2">
        <v>10000</v>
      </c>
      <c r="E85" s="4" t="s">
        <v>7</v>
      </c>
      <c r="F85" s="3">
        <f>IFERROR((Таблица1[[#This Row],[Старая цена]]-Таблица1[[#This Row],[Новая цена]])/Таблица1[[#This Row],[Старая цена]],0)</f>
        <v>0.89</v>
      </c>
      <c r="G85" s="5">
        <f>Таблица1[[#This Row],[Старая цена]]-Таблица1[[#This Row],[Новая цена]]</f>
        <v>8900</v>
      </c>
      <c r="H85">
        <v>127</v>
      </c>
    </row>
    <row r="86" spans="1:8" x14ac:dyDescent="0.25">
      <c r="A86" t="s">
        <v>110</v>
      </c>
      <c r="B86" t="s">
        <v>130</v>
      </c>
      <c r="C86" s="2">
        <v>1071</v>
      </c>
      <c r="D86" s="2">
        <v>1530</v>
      </c>
      <c r="E86" s="4" t="s">
        <v>7</v>
      </c>
      <c r="F86" s="3">
        <f>IFERROR((Таблица1[[#This Row],[Старая цена]]-Таблица1[[#This Row],[Новая цена]])/Таблица1[[#This Row],[Старая цена]],0)</f>
        <v>0.3</v>
      </c>
      <c r="G86" s="5">
        <f>Таблица1[[#This Row],[Старая цена]]-Таблица1[[#This Row],[Новая цена]]</f>
        <v>459</v>
      </c>
      <c r="H86">
        <v>20</v>
      </c>
    </row>
    <row r="87" spans="1:8" x14ac:dyDescent="0.25">
      <c r="A87" t="s">
        <v>41</v>
      </c>
      <c r="B87" t="s">
        <v>40</v>
      </c>
      <c r="C87" s="2">
        <v>1057</v>
      </c>
      <c r="D87" s="2">
        <v>4599</v>
      </c>
      <c r="E87" s="4" t="s">
        <v>7</v>
      </c>
      <c r="F87" s="3">
        <f>IFERROR((Таблица1[[#This Row],[Старая цена]]-Таблица1[[#This Row],[Новая цена]])/Таблица1[[#This Row],[Старая цена]],0)</f>
        <v>0.77016742770167423</v>
      </c>
      <c r="G87" s="5">
        <f>Таблица1[[#This Row],[Старая цена]]-Таблица1[[#This Row],[Новая цена]]</f>
        <v>3542</v>
      </c>
      <c r="H87">
        <v>2</v>
      </c>
    </row>
    <row r="88" spans="1:8" x14ac:dyDescent="0.25">
      <c r="A88" t="s">
        <v>67</v>
      </c>
      <c r="B88" t="s">
        <v>66</v>
      </c>
      <c r="C88" s="2">
        <v>999</v>
      </c>
      <c r="D88" s="2">
        <v>4541</v>
      </c>
      <c r="E88" s="4" t="s">
        <v>7</v>
      </c>
      <c r="F88" s="3">
        <f>IFERROR((Таблица1[[#This Row],[Старая цена]]-Таблица1[[#This Row],[Новая цена]])/Таблица1[[#This Row],[Старая цена]],0)</f>
        <v>0.78000440431622986</v>
      </c>
      <c r="G88" s="5">
        <f>Таблица1[[#This Row],[Старая цена]]-Таблица1[[#This Row],[Новая цена]]</f>
        <v>3542</v>
      </c>
      <c r="H88">
        <v>339</v>
      </c>
    </row>
    <row r="89" spans="1:8" x14ac:dyDescent="0.25">
      <c r="A89" t="s">
        <v>39</v>
      </c>
      <c r="B89" t="s">
        <v>70</v>
      </c>
      <c r="C89" s="2">
        <v>978</v>
      </c>
      <c r="D89" s="2">
        <v>19560</v>
      </c>
      <c r="E89" s="4" t="s">
        <v>7</v>
      </c>
      <c r="F89" s="3">
        <f>IFERROR((Таблица1[[#This Row],[Старая цена]]-Таблица1[[#This Row],[Новая цена]])/Таблица1[[#This Row],[Старая цена]],0)</f>
        <v>0.95</v>
      </c>
      <c r="G89" s="5">
        <f>Таблица1[[#This Row],[Старая цена]]-Таблица1[[#This Row],[Новая цена]]</f>
        <v>18582</v>
      </c>
      <c r="H89">
        <v>2319</v>
      </c>
    </row>
    <row r="90" spans="1:8" x14ac:dyDescent="0.25">
      <c r="A90" t="s">
        <v>7</v>
      </c>
      <c r="B90" t="s">
        <v>58</v>
      </c>
      <c r="C90" s="2">
        <v>975</v>
      </c>
      <c r="D90" s="2">
        <v>5740</v>
      </c>
      <c r="E90" s="4" t="s">
        <v>7</v>
      </c>
      <c r="F90" s="3">
        <f>IFERROR((Таблица1[[#This Row],[Старая цена]]-Таблица1[[#This Row],[Новая цена]])/Таблица1[[#This Row],[Старая цена]],0)</f>
        <v>0.83013937282229966</v>
      </c>
      <c r="G90" s="5">
        <f>Таблица1[[#This Row],[Старая цена]]-Таблица1[[#This Row],[Новая цена]]</f>
        <v>4765</v>
      </c>
      <c r="H90">
        <v>126</v>
      </c>
    </row>
    <row r="91" spans="1:8" x14ac:dyDescent="0.25">
      <c r="A91" t="s">
        <v>39</v>
      </c>
      <c r="B91" t="s">
        <v>53</v>
      </c>
      <c r="C91" s="2">
        <v>973</v>
      </c>
      <c r="D91" s="2">
        <v>19460</v>
      </c>
      <c r="E91" s="4" t="s">
        <v>7</v>
      </c>
      <c r="F91" s="3">
        <f>IFERROR((Таблица1[[#This Row],[Старая цена]]-Таблица1[[#This Row],[Новая цена]])/Таблица1[[#This Row],[Старая цена]],0)</f>
        <v>0.95</v>
      </c>
      <c r="G91" s="5">
        <f>Таблица1[[#This Row],[Старая цена]]-Таблица1[[#This Row],[Новая цена]]</f>
        <v>18487</v>
      </c>
      <c r="H91">
        <v>2319</v>
      </c>
    </row>
    <row r="92" spans="1:8" x14ac:dyDescent="0.25">
      <c r="A92" t="s">
        <v>104</v>
      </c>
      <c r="B92" t="s">
        <v>103</v>
      </c>
      <c r="C92" s="2">
        <v>971</v>
      </c>
      <c r="D92" s="2">
        <v>9710</v>
      </c>
      <c r="E92" s="4" t="s">
        <v>7</v>
      </c>
      <c r="F92" s="3">
        <f>IFERROR((Таблица1[[#This Row],[Старая цена]]-Таблица1[[#This Row],[Новая цена]])/Таблица1[[#This Row],[Старая цена]],0)</f>
        <v>0.9</v>
      </c>
      <c r="G92" s="5">
        <f>Таблица1[[#This Row],[Старая цена]]-Таблица1[[#This Row],[Новая цена]]</f>
        <v>8739</v>
      </c>
      <c r="H92">
        <v>422</v>
      </c>
    </row>
    <row r="93" spans="1:8" x14ac:dyDescent="0.25">
      <c r="A93" t="s">
        <v>39</v>
      </c>
      <c r="B93" t="s">
        <v>70</v>
      </c>
      <c r="C93" s="2">
        <v>935</v>
      </c>
      <c r="D93" s="2">
        <v>18700</v>
      </c>
      <c r="E93" s="4" t="s">
        <v>7</v>
      </c>
      <c r="F93" s="3">
        <f>IFERROR((Таблица1[[#This Row],[Старая цена]]-Таблица1[[#This Row],[Новая цена]])/Таблица1[[#This Row],[Старая цена]],0)</f>
        <v>0.95</v>
      </c>
      <c r="G93" s="5">
        <f>Таблица1[[#This Row],[Старая цена]]-Таблица1[[#This Row],[Новая цена]]</f>
        <v>17765</v>
      </c>
      <c r="H93">
        <v>2319</v>
      </c>
    </row>
    <row r="94" spans="1:8" x14ac:dyDescent="0.25">
      <c r="A94" t="s">
        <v>32</v>
      </c>
      <c r="B94" t="s">
        <v>31</v>
      </c>
      <c r="C94" s="2">
        <v>907</v>
      </c>
      <c r="D94" s="2">
        <v>10078</v>
      </c>
      <c r="E94" s="4" t="s">
        <v>7</v>
      </c>
      <c r="F94" s="3">
        <f>IFERROR((Таблица1[[#This Row],[Старая цена]]-Таблица1[[#This Row],[Новая цена]])/Таблица1[[#This Row],[Старая цена]],0)</f>
        <v>0.91000198452073822</v>
      </c>
      <c r="G94" s="5">
        <f>Таблица1[[#This Row],[Старая цена]]-Таблица1[[#This Row],[Новая цена]]</f>
        <v>9171</v>
      </c>
      <c r="H94">
        <v>1377</v>
      </c>
    </row>
    <row r="95" spans="1:8" x14ac:dyDescent="0.25">
      <c r="A95" t="s">
        <v>44</v>
      </c>
      <c r="B95" t="s">
        <v>80</v>
      </c>
      <c r="C95" s="2">
        <v>882</v>
      </c>
      <c r="D95" s="2">
        <v>4900</v>
      </c>
      <c r="E95" s="4" t="s">
        <v>7</v>
      </c>
      <c r="F95" s="3">
        <f>IFERROR((Таблица1[[#This Row],[Старая цена]]-Таблица1[[#This Row],[Новая цена]])/Таблица1[[#This Row],[Старая цена]],0)</f>
        <v>0.82</v>
      </c>
      <c r="G95" s="5">
        <f>Таблица1[[#This Row],[Старая цена]]-Таблица1[[#This Row],[Новая цена]]</f>
        <v>4018</v>
      </c>
      <c r="H95">
        <v>1609</v>
      </c>
    </row>
    <row r="96" spans="1:8" x14ac:dyDescent="0.25">
      <c r="A96" t="s">
        <v>104</v>
      </c>
      <c r="B96" t="s">
        <v>103</v>
      </c>
      <c r="C96" s="2">
        <v>879</v>
      </c>
      <c r="D96" s="2">
        <v>8790</v>
      </c>
      <c r="E96" s="4" t="s">
        <v>7</v>
      </c>
      <c r="F96" s="3">
        <f>IFERROR((Таблица1[[#This Row],[Старая цена]]-Таблица1[[#This Row],[Новая цена]])/Таблица1[[#This Row],[Старая цена]],0)</f>
        <v>0.9</v>
      </c>
      <c r="G96" s="5">
        <f>Таблица1[[#This Row],[Старая цена]]-Таблица1[[#This Row],[Новая цена]]</f>
        <v>7911</v>
      </c>
      <c r="H96">
        <v>422</v>
      </c>
    </row>
    <row r="97" spans="1:8" x14ac:dyDescent="0.25">
      <c r="A97" t="s">
        <v>135</v>
      </c>
      <c r="B97" t="s">
        <v>134</v>
      </c>
      <c r="C97" s="2">
        <v>812</v>
      </c>
      <c r="D97" s="2">
        <v>16240</v>
      </c>
      <c r="E97" s="4" t="s">
        <v>7</v>
      </c>
      <c r="F97" s="3">
        <f>IFERROR((Таблица1[[#This Row],[Старая цена]]-Таблица1[[#This Row],[Новая цена]])/Таблица1[[#This Row],[Старая цена]],0)</f>
        <v>0.95</v>
      </c>
      <c r="G97" s="5">
        <f>Таблица1[[#This Row],[Старая цена]]-Таблица1[[#This Row],[Новая цена]]</f>
        <v>15428</v>
      </c>
      <c r="H97">
        <v>469</v>
      </c>
    </row>
    <row r="98" spans="1:8" x14ac:dyDescent="0.25">
      <c r="A98" t="s">
        <v>46</v>
      </c>
      <c r="B98" t="s">
        <v>87</v>
      </c>
      <c r="C98" s="2">
        <v>770</v>
      </c>
      <c r="D98" s="2">
        <v>1400</v>
      </c>
      <c r="E98" s="4" t="s">
        <v>7</v>
      </c>
      <c r="F98" s="3">
        <f>IFERROR((Таблица1[[#This Row],[Старая цена]]-Таблица1[[#This Row],[Новая цена]])/Таблица1[[#This Row],[Старая цена]],0)</f>
        <v>0.45</v>
      </c>
      <c r="G98" s="5">
        <f>Таблица1[[#This Row],[Старая цена]]-Таблица1[[#This Row],[Новая цена]]</f>
        <v>630</v>
      </c>
      <c r="H98">
        <v>327</v>
      </c>
    </row>
    <row r="99" spans="1:8" x14ac:dyDescent="0.25">
      <c r="A99" t="s">
        <v>65</v>
      </c>
      <c r="B99" t="s">
        <v>64</v>
      </c>
      <c r="C99" s="2">
        <v>714</v>
      </c>
      <c r="D99" s="2">
        <v>14281</v>
      </c>
      <c r="E99" s="4" t="s">
        <v>7</v>
      </c>
      <c r="F99" s="3">
        <f>IFERROR((Таблица1[[#This Row],[Старая цена]]-Таблица1[[#This Row],[Новая цена]])/Таблица1[[#This Row],[Старая цена]],0)</f>
        <v>0.95000350115538124</v>
      </c>
      <c r="G99" s="5">
        <f>Таблица1[[#This Row],[Старая цена]]-Таблица1[[#This Row],[Новая цена]]</f>
        <v>13567</v>
      </c>
      <c r="H99">
        <v>1786</v>
      </c>
    </row>
    <row r="100" spans="1:8" x14ac:dyDescent="0.25">
      <c r="A100" t="s">
        <v>65</v>
      </c>
      <c r="B100" t="s">
        <v>64</v>
      </c>
      <c r="C100" s="2">
        <v>698</v>
      </c>
      <c r="D100" s="2">
        <v>13961</v>
      </c>
      <c r="E100" s="4" t="s">
        <v>7</v>
      </c>
      <c r="F100" s="3">
        <f>IFERROR((Таблица1[[#This Row],[Старая цена]]-Таблица1[[#This Row],[Новая цена]])/Таблица1[[#This Row],[Старая цена]],0)</f>
        <v>0.95000358140534347</v>
      </c>
      <c r="G100" s="5">
        <f>Таблица1[[#This Row],[Старая цена]]-Таблица1[[#This Row],[Новая цена]]</f>
        <v>13263</v>
      </c>
      <c r="H100">
        <v>1786</v>
      </c>
    </row>
    <row r="101" spans="1:8" x14ac:dyDescent="0.25">
      <c r="A101" t="s">
        <v>65</v>
      </c>
      <c r="B101" t="s">
        <v>64</v>
      </c>
      <c r="C101" s="2">
        <v>695</v>
      </c>
      <c r="D101" s="2">
        <v>13901</v>
      </c>
      <c r="E101" s="4" t="s">
        <v>7</v>
      </c>
      <c r="F101" s="3">
        <f>IFERROR((Таблица1[[#This Row],[Старая цена]]-Таблица1[[#This Row],[Новая цена]])/Таблица1[[#This Row],[Старая цена]],0)</f>
        <v>0.95000359686353497</v>
      </c>
      <c r="G101" s="5">
        <f>Таблица1[[#This Row],[Старая цена]]-Таблица1[[#This Row],[Новая цена]]</f>
        <v>13206</v>
      </c>
      <c r="H101">
        <v>1786</v>
      </c>
    </row>
    <row r="102" spans="1:8" x14ac:dyDescent="0.25">
      <c r="A102" t="s">
        <v>73</v>
      </c>
      <c r="B102" t="s">
        <v>150</v>
      </c>
      <c r="C102" s="2">
        <v>510</v>
      </c>
      <c r="D102" s="2">
        <v>3000</v>
      </c>
      <c r="E102" s="4" t="s">
        <v>7</v>
      </c>
      <c r="F102" s="3">
        <f>IFERROR((Таблица1[[#This Row],[Старая цена]]-Таблица1[[#This Row],[Новая цена]])/Таблица1[[#This Row],[Старая цена]],0)</f>
        <v>0.83</v>
      </c>
      <c r="G102" s="5">
        <f>Таблица1[[#This Row],[Старая цена]]-Таблица1[[#This Row],[Новая цена]]</f>
        <v>2490</v>
      </c>
      <c r="H102">
        <v>128</v>
      </c>
    </row>
    <row r="103" spans="1:8" x14ac:dyDescent="0.25">
      <c r="A103" t="s">
        <v>97</v>
      </c>
      <c r="B103" t="s">
        <v>96</v>
      </c>
      <c r="C103" s="2">
        <v>510</v>
      </c>
      <c r="D103" s="2">
        <v>3000</v>
      </c>
      <c r="E103" s="4" t="s">
        <v>7</v>
      </c>
      <c r="F103" s="3">
        <f>IFERROR((Таблица1[[#This Row],[Старая цена]]-Таблица1[[#This Row],[Новая цена]])/Таблица1[[#This Row],[Старая цена]],0)</f>
        <v>0.83</v>
      </c>
      <c r="G103" s="5">
        <f>Таблица1[[#This Row],[Старая цена]]-Таблица1[[#This Row],[Новая цена]]</f>
        <v>2490</v>
      </c>
      <c r="H103">
        <v>90</v>
      </c>
    </row>
    <row r="104" spans="1:8" x14ac:dyDescent="0.25">
      <c r="A104" t="s">
        <v>79</v>
      </c>
      <c r="B104" t="s">
        <v>78</v>
      </c>
      <c r="C104" s="2">
        <v>385</v>
      </c>
      <c r="D104" s="2">
        <v>1100</v>
      </c>
      <c r="E104" s="4" t="s">
        <v>7</v>
      </c>
      <c r="F104" s="3">
        <f>IFERROR((Таблица1[[#This Row],[Старая цена]]-Таблица1[[#This Row],[Новая цена]])/Таблица1[[#This Row],[Старая цена]],0)</f>
        <v>0.65</v>
      </c>
      <c r="G104" s="5">
        <f>Таблица1[[#This Row],[Старая цена]]-Таблица1[[#This Row],[Новая цена]]</f>
        <v>715</v>
      </c>
      <c r="H104">
        <v>48</v>
      </c>
    </row>
    <row r="105" spans="1:8" x14ac:dyDescent="0.25">
      <c r="A105" t="s">
        <v>9</v>
      </c>
      <c r="B105" t="s">
        <v>152</v>
      </c>
      <c r="C105" s="2">
        <v>1742</v>
      </c>
      <c r="D105" s="2">
        <v>6700</v>
      </c>
      <c r="E105" s="4" t="s">
        <v>7</v>
      </c>
      <c r="F105" s="3">
        <f>IFERROR((Таблица1[[#This Row],[Старая цена]]-Таблица1[[#This Row],[Новая цена]])/Таблица1[[#This Row],[Старая цена]],0)</f>
        <v>0.74</v>
      </c>
      <c r="G105" s="5">
        <f>Таблица1[[#This Row],[Старая цена]]-Таблица1[[#This Row],[Новая цена]]</f>
        <v>4958</v>
      </c>
      <c r="H105">
        <v>96</v>
      </c>
    </row>
    <row r="106" spans="1:8" x14ac:dyDescent="0.25">
      <c r="A106" t="s">
        <v>93</v>
      </c>
      <c r="B106" t="s">
        <v>92</v>
      </c>
      <c r="C106" s="2">
        <v>1499</v>
      </c>
      <c r="D106" s="2">
        <v>2884</v>
      </c>
      <c r="E106" s="4" t="s">
        <v>7</v>
      </c>
      <c r="F106" s="3">
        <f>IFERROR((Таблица1[[#This Row],[Старая цена]]-Таблица1[[#This Row],[Новая цена]])/Таблица1[[#This Row],[Старая цена]],0)</f>
        <v>0.4802357836338419</v>
      </c>
      <c r="G106" s="5">
        <f>Таблица1[[#This Row],[Старая цена]]-Таблица1[[#This Row],[Новая цена]]</f>
        <v>1385</v>
      </c>
      <c r="H106">
        <v>158</v>
      </c>
    </row>
    <row r="107" spans="1:8" x14ac:dyDescent="0.25">
      <c r="A107" t="s">
        <v>13</v>
      </c>
      <c r="B107" t="s">
        <v>12</v>
      </c>
      <c r="C107" s="2">
        <v>3998</v>
      </c>
      <c r="D107" s="2">
        <v>14280</v>
      </c>
      <c r="E107" s="4" t="s">
        <v>7</v>
      </c>
      <c r="F107" s="3">
        <f>IFERROR((Таблица1[[#This Row],[Старая цена]]-Таблица1[[#This Row],[Новая цена]])/Таблица1[[#This Row],[Старая цена]],0)</f>
        <v>0.72002801120448179</v>
      </c>
      <c r="G107" s="5">
        <f>Таблица1[[#This Row],[Старая цена]]-Таблица1[[#This Row],[Новая цена]]</f>
        <v>10282</v>
      </c>
      <c r="H107">
        <v>610</v>
      </c>
    </row>
    <row r="108" spans="1:8" x14ac:dyDescent="0.25">
      <c r="A108" t="s">
        <v>15</v>
      </c>
      <c r="B108" t="s">
        <v>14</v>
      </c>
      <c r="C108" s="2">
        <v>1579</v>
      </c>
      <c r="D108" s="2">
        <v>22558</v>
      </c>
      <c r="E108" s="4" t="s">
        <v>7</v>
      </c>
      <c r="F108" s="3">
        <f>IFERROR((Таблица1[[#This Row],[Старая цена]]-Таблица1[[#This Row],[Новая цена]])/Таблица1[[#This Row],[Старая цена]],0)</f>
        <v>0.93000265981026686</v>
      </c>
      <c r="G108" s="5">
        <f>Таблица1[[#This Row],[Старая цена]]-Таблица1[[#This Row],[Новая цена]]</f>
        <v>20979</v>
      </c>
      <c r="H108">
        <v>1295</v>
      </c>
    </row>
    <row r="109" spans="1:8" x14ac:dyDescent="0.25">
      <c r="A109" t="s">
        <v>17</v>
      </c>
      <c r="B109" t="s">
        <v>16</v>
      </c>
      <c r="C109" s="2">
        <v>1441</v>
      </c>
      <c r="D109" s="2">
        <v>3276</v>
      </c>
      <c r="E109" s="4" t="s">
        <v>7</v>
      </c>
      <c r="F109" s="3">
        <f>IFERROR((Таблица1[[#This Row],[Старая цена]]-Таблица1[[#This Row],[Новая цена]])/Таблица1[[#This Row],[Старая цена]],0)</f>
        <v>0.56013431013431014</v>
      </c>
      <c r="G109" s="5">
        <f>Таблица1[[#This Row],[Старая цена]]-Таблица1[[#This Row],[Новая цена]]</f>
        <v>1835</v>
      </c>
      <c r="H109">
        <v>1297</v>
      </c>
    </row>
    <row r="110" spans="1:8" x14ac:dyDescent="0.25">
      <c r="A110" t="s">
        <v>25</v>
      </c>
      <c r="B110" t="s">
        <v>24</v>
      </c>
      <c r="C110" s="2">
        <v>1497</v>
      </c>
      <c r="D110" s="2">
        <v>5990</v>
      </c>
      <c r="E110" s="4" t="s">
        <v>7</v>
      </c>
      <c r="F110" s="3">
        <f>IFERROR((Таблица1[[#This Row],[Старая цена]]-Таблица1[[#This Row],[Новая цена]])/Таблица1[[#This Row],[Старая цена]],0)</f>
        <v>0.75008347245409013</v>
      </c>
      <c r="G110" s="5">
        <f>Таблица1[[#This Row],[Старая цена]]-Таблица1[[#This Row],[Новая цена]]</f>
        <v>4493</v>
      </c>
      <c r="H110">
        <v>74</v>
      </c>
    </row>
    <row r="111" spans="1:8" x14ac:dyDescent="0.25">
      <c r="A111" t="s">
        <v>21</v>
      </c>
      <c r="B111" t="s">
        <v>20</v>
      </c>
      <c r="C111" s="2">
        <v>1699</v>
      </c>
      <c r="D111" s="2">
        <v>21240</v>
      </c>
      <c r="E111" s="4" t="s">
        <v>7</v>
      </c>
      <c r="F111" s="3">
        <f>IFERROR((Таблица1[[#This Row],[Старая цена]]-Таблица1[[#This Row],[Новая цена]])/Таблица1[[#This Row],[Старая цена]],0)</f>
        <v>0.92000941619585686</v>
      </c>
      <c r="G111" s="5">
        <f>Таблица1[[#This Row],[Старая цена]]-Таблица1[[#This Row],[Новая цена]]</f>
        <v>19541</v>
      </c>
      <c r="H111">
        <v>2356</v>
      </c>
    </row>
    <row r="112" spans="1:8" x14ac:dyDescent="0.25">
      <c r="A112" t="s">
        <v>19</v>
      </c>
      <c r="B112" t="s">
        <v>18</v>
      </c>
      <c r="C112" s="2">
        <v>15747</v>
      </c>
      <c r="D112" s="2">
        <v>26245</v>
      </c>
      <c r="E112" s="4" t="s">
        <v>7</v>
      </c>
      <c r="F112" s="3">
        <f>IFERROR((Таблица1[[#This Row],[Старая цена]]-Таблица1[[#This Row],[Новая цена]])/Таблица1[[#This Row],[Старая цена]],0)</f>
        <v>0.4</v>
      </c>
      <c r="G112" s="5">
        <f>Таблица1[[#This Row],[Старая цена]]-Таблица1[[#This Row],[Новая цена]]</f>
        <v>10498</v>
      </c>
      <c r="H112">
        <v>107</v>
      </c>
    </row>
    <row r="113" spans="1:8" x14ac:dyDescent="0.25">
      <c r="A113" t="s">
        <v>39</v>
      </c>
      <c r="B113" t="s">
        <v>77</v>
      </c>
      <c r="C113" s="2">
        <v>1799</v>
      </c>
      <c r="D113" s="2">
        <v>25700</v>
      </c>
      <c r="E113" s="4" t="s">
        <v>7</v>
      </c>
      <c r="F113" s="3">
        <f>IFERROR((Таблица1[[#This Row],[Старая цена]]-Таблица1[[#This Row],[Новая цена]])/Таблица1[[#This Row],[Старая цена]],0)</f>
        <v>0.93</v>
      </c>
      <c r="G113" s="5">
        <f>Таблица1[[#This Row],[Старая цена]]-Таблица1[[#This Row],[Новая цена]]</f>
        <v>23901</v>
      </c>
      <c r="H113">
        <v>2391</v>
      </c>
    </row>
    <row r="114" spans="1:8" x14ac:dyDescent="0.25">
      <c r="A114" t="s">
        <v>41</v>
      </c>
      <c r="B114" t="s">
        <v>40</v>
      </c>
      <c r="C114" s="2">
        <v>919</v>
      </c>
      <c r="D114" s="2">
        <v>4599</v>
      </c>
      <c r="E114" s="4" t="s">
        <v>7</v>
      </c>
      <c r="F114" s="3">
        <f>IFERROR((Таблица1[[#This Row],[Старая цена]]-Таблица1[[#This Row],[Новая цена]])/Таблица1[[#This Row],[Старая цена]],0)</f>
        <v>0.80017395085888232</v>
      </c>
      <c r="G114" s="5">
        <f>Таблица1[[#This Row],[Старая цена]]-Таблица1[[#This Row],[Новая цена]]</f>
        <v>3680</v>
      </c>
      <c r="H114">
        <v>3</v>
      </c>
    </row>
    <row r="115" spans="1:8" x14ac:dyDescent="0.25">
      <c r="A115" t="s">
        <v>76</v>
      </c>
      <c r="B115" t="s">
        <v>153</v>
      </c>
      <c r="C115" s="2">
        <v>4095</v>
      </c>
      <c r="D115" s="2">
        <v>9990</v>
      </c>
      <c r="E115" s="4" t="s">
        <v>7</v>
      </c>
      <c r="F115" s="3">
        <f>IFERROR((Таблица1[[#This Row],[Старая цена]]-Таблица1[[#This Row],[Новая цена]])/Таблица1[[#This Row],[Старая цена]],0)</f>
        <v>0.59009009009009006</v>
      </c>
      <c r="G115" s="5">
        <f>Таблица1[[#This Row],[Старая цена]]-Таблица1[[#This Row],[Новая цена]]</f>
        <v>5895</v>
      </c>
      <c r="H115">
        <v>35</v>
      </c>
    </row>
    <row r="116" spans="1:8" x14ac:dyDescent="0.25">
      <c r="A116" t="s">
        <v>155</v>
      </c>
      <c r="B116" t="s">
        <v>154</v>
      </c>
      <c r="C116" s="2">
        <v>1896</v>
      </c>
      <c r="D116" s="2">
        <v>4990</v>
      </c>
      <c r="E116" s="4" t="s">
        <v>7</v>
      </c>
      <c r="F116" s="3">
        <f>IFERROR((Таблица1[[#This Row],[Старая цена]]-Таблица1[[#This Row],[Новая цена]])/Таблица1[[#This Row],[Старая цена]],0)</f>
        <v>0.62004008016032064</v>
      </c>
      <c r="G116" s="5">
        <f>Таблица1[[#This Row],[Старая цена]]-Таблица1[[#This Row],[Новая цена]]</f>
        <v>3094</v>
      </c>
      <c r="H116">
        <v>2</v>
      </c>
    </row>
    <row r="117" spans="1:8" x14ac:dyDescent="0.25">
      <c r="A117" t="s">
        <v>55</v>
      </c>
      <c r="B117" t="s">
        <v>156</v>
      </c>
      <c r="C117" s="2">
        <v>1370</v>
      </c>
      <c r="D117" s="2">
        <v>6850</v>
      </c>
      <c r="E117" s="4" t="s">
        <v>7</v>
      </c>
      <c r="F117" s="3">
        <f>IFERROR((Таблица1[[#This Row],[Старая цена]]-Таблица1[[#This Row],[Новая цена]])/Таблица1[[#This Row],[Старая цена]],0)</f>
        <v>0.8</v>
      </c>
      <c r="G117" s="5">
        <f>Таблица1[[#This Row],[Старая цена]]-Таблица1[[#This Row],[Новая цена]]</f>
        <v>5480</v>
      </c>
      <c r="H117">
        <v>9</v>
      </c>
    </row>
    <row r="118" spans="1:8" x14ac:dyDescent="0.25">
      <c r="A118" t="s">
        <v>39</v>
      </c>
      <c r="B118" t="s">
        <v>157</v>
      </c>
      <c r="C118" s="2">
        <v>3899</v>
      </c>
      <c r="D118" s="2">
        <v>27850</v>
      </c>
      <c r="E118" s="4" t="s">
        <v>7</v>
      </c>
      <c r="F118" s="3">
        <f>IFERROR((Таблица1[[#This Row],[Старая цена]]-Таблица1[[#This Row],[Новая цена]])/Таблица1[[#This Row],[Старая цена]],0)</f>
        <v>0.86</v>
      </c>
      <c r="G118" s="5">
        <f>Таблица1[[#This Row],[Старая цена]]-Таблица1[[#This Row],[Новая цена]]</f>
        <v>23951</v>
      </c>
      <c r="H118">
        <v>2391</v>
      </c>
    </row>
    <row r="119" spans="1:8" x14ac:dyDescent="0.25">
      <c r="A119" t="s">
        <v>23</v>
      </c>
      <c r="B119" t="s">
        <v>158</v>
      </c>
      <c r="C119" s="2">
        <v>1773</v>
      </c>
      <c r="D119" s="2">
        <v>12671</v>
      </c>
      <c r="E119" s="4" t="s">
        <v>7</v>
      </c>
      <c r="F119" s="3">
        <f>IFERROR((Таблица1[[#This Row],[Старая цена]]-Таблица1[[#This Row],[Новая цена]])/Таблица1[[#This Row],[Старая цена]],0)</f>
        <v>0.86007418514718648</v>
      </c>
      <c r="G119" s="5">
        <f>Таблица1[[#This Row],[Старая цена]]-Таблица1[[#This Row],[Новая цена]]</f>
        <v>10898</v>
      </c>
      <c r="H119">
        <v>270</v>
      </c>
    </row>
    <row r="120" spans="1:8" x14ac:dyDescent="0.25">
      <c r="A120" t="s">
        <v>27</v>
      </c>
      <c r="B120" t="s">
        <v>26</v>
      </c>
      <c r="C120" s="2">
        <v>2131</v>
      </c>
      <c r="D120" s="2">
        <v>5920</v>
      </c>
      <c r="E120" s="4" t="s">
        <v>7</v>
      </c>
      <c r="F120" s="3">
        <f>IFERROR((Таблица1[[#This Row],[Старая цена]]-Таблица1[[#This Row],[Новая цена]])/Таблица1[[#This Row],[Старая цена]],0)</f>
        <v>0.64003378378378384</v>
      </c>
      <c r="G120" s="5">
        <f>Таблица1[[#This Row],[Старая цена]]-Таблица1[[#This Row],[Новая цена]]</f>
        <v>3789</v>
      </c>
      <c r="H120">
        <v>1416</v>
      </c>
    </row>
    <row r="121" spans="1:8" x14ac:dyDescent="0.25">
      <c r="A121" t="s">
        <v>17</v>
      </c>
      <c r="B121" t="s">
        <v>28</v>
      </c>
      <c r="C121" s="2">
        <v>1359</v>
      </c>
      <c r="D121" s="2">
        <v>3577</v>
      </c>
      <c r="E121" s="4" t="s">
        <v>7</v>
      </c>
      <c r="F121" s="3">
        <f>IFERROR((Таблица1[[#This Row],[Старая цена]]-Таблица1[[#This Row],[Новая цена]])/Таблица1[[#This Row],[Старая цена]],0)</f>
        <v>0.62007268660889014</v>
      </c>
      <c r="G121" s="5">
        <f>Таблица1[[#This Row],[Старая цена]]-Таблица1[[#This Row],[Новая цена]]</f>
        <v>2218</v>
      </c>
      <c r="H121">
        <v>678</v>
      </c>
    </row>
    <row r="122" spans="1:8" x14ac:dyDescent="0.25">
      <c r="A122" t="s">
        <v>34</v>
      </c>
      <c r="B122" t="s">
        <v>159</v>
      </c>
      <c r="C122" s="2">
        <v>4350</v>
      </c>
      <c r="D122" s="2">
        <v>10875</v>
      </c>
      <c r="E122" s="4" t="s">
        <v>7</v>
      </c>
      <c r="F122" s="3">
        <f>IFERROR((Таблица1[[#This Row],[Старая цена]]-Таблица1[[#This Row],[Новая цена]])/Таблица1[[#This Row],[Старая цена]],0)</f>
        <v>0.6</v>
      </c>
      <c r="G122" s="5">
        <f>Таблица1[[#This Row],[Старая цена]]-Таблица1[[#This Row],[Новая цена]]</f>
        <v>6525</v>
      </c>
      <c r="H122">
        <v>38</v>
      </c>
    </row>
    <row r="123" spans="1:8" x14ac:dyDescent="0.25">
      <c r="A123" t="s">
        <v>32</v>
      </c>
      <c r="B123" t="s">
        <v>31</v>
      </c>
      <c r="C123" s="2">
        <v>907</v>
      </c>
      <c r="D123" s="2">
        <v>10078</v>
      </c>
      <c r="E123" s="4" t="s">
        <v>7</v>
      </c>
      <c r="F123" s="3">
        <f>IFERROR((Таблица1[[#This Row],[Старая цена]]-Таблица1[[#This Row],[Новая цена]])/Таблица1[[#This Row],[Старая цена]],0)</f>
        <v>0.91000198452073822</v>
      </c>
      <c r="G123" s="5">
        <f>Таблица1[[#This Row],[Старая цена]]-Таблица1[[#This Row],[Новая цена]]</f>
        <v>9171</v>
      </c>
      <c r="H123">
        <v>1401</v>
      </c>
    </row>
    <row r="124" spans="1:8" x14ac:dyDescent="0.25">
      <c r="A124" t="s">
        <v>72</v>
      </c>
      <c r="B124" t="s">
        <v>71</v>
      </c>
      <c r="C124" s="2">
        <v>1644</v>
      </c>
      <c r="D124" s="2">
        <v>23499</v>
      </c>
      <c r="E124" s="4" t="s">
        <v>7</v>
      </c>
      <c r="F124" s="3">
        <f>IFERROR((Таблица1[[#This Row],[Старая цена]]-Таблица1[[#This Row],[Новая цена]])/Таблица1[[#This Row],[Старая цена]],0)</f>
        <v>0.93003957615217669</v>
      </c>
      <c r="G124" s="5">
        <f>Таблица1[[#This Row],[Старая цена]]-Таблица1[[#This Row],[Новая цена]]</f>
        <v>21855</v>
      </c>
      <c r="H124">
        <v>317</v>
      </c>
    </row>
    <row r="125" spans="1:8" x14ac:dyDescent="0.25">
      <c r="A125" t="s">
        <v>46</v>
      </c>
      <c r="B125" t="s">
        <v>45</v>
      </c>
      <c r="C125" s="2">
        <v>1548</v>
      </c>
      <c r="D125" s="2">
        <v>2419</v>
      </c>
      <c r="E125" s="4" t="s">
        <v>7</v>
      </c>
      <c r="F125" s="3">
        <f>IFERROR((Таблица1[[#This Row],[Старая цена]]-Таблица1[[#This Row],[Новая цена]])/Таблица1[[#This Row],[Старая цена]],0)</f>
        <v>0.36006614303431173</v>
      </c>
      <c r="G125" s="5">
        <f>Таблица1[[#This Row],[Старая цена]]-Таблица1[[#This Row],[Новая цена]]</f>
        <v>871</v>
      </c>
      <c r="H125">
        <v>32</v>
      </c>
    </row>
    <row r="126" spans="1:8" x14ac:dyDescent="0.25">
      <c r="A126" t="s">
        <v>52</v>
      </c>
      <c r="B126" t="s">
        <v>51</v>
      </c>
      <c r="C126" s="2">
        <v>4200</v>
      </c>
      <c r="D126" s="2">
        <v>7000</v>
      </c>
      <c r="E126" s="4" t="s">
        <v>7</v>
      </c>
      <c r="F126" s="3">
        <f>IFERROR((Таблица1[[#This Row],[Старая цена]]-Таблица1[[#This Row],[Новая цена]])/Таблица1[[#This Row],[Старая цена]],0)</f>
        <v>0.4</v>
      </c>
      <c r="G126" s="5">
        <f>Таблица1[[#This Row],[Старая цена]]-Таблица1[[#This Row],[Новая цена]]</f>
        <v>2800</v>
      </c>
      <c r="H126">
        <v>129</v>
      </c>
    </row>
    <row r="127" spans="1:8" x14ac:dyDescent="0.25">
      <c r="A127" t="s">
        <v>160</v>
      </c>
      <c r="B127" t="s">
        <v>45</v>
      </c>
      <c r="C127" s="2">
        <v>1572</v>
      </c>
      <c r="D127" s="2">
        <v>2419</v>
      </c>
      <c r="E127" s="4" t="s">
        <v>7</v>
      </c>
      <c r="F127" s="3">
        <f>IFERROR((Таблица1[[#This Row],[Старая цена]]-Таблица1[[#This Row],[Новая цена]])/Таблица1[[#This Row],[Старая цена]],0)</f>
        <v>0.35014468788755682</v>
      </c>
      <c r="G127" s="5">
        <f>Таблица1[[#This Row],[Старая цена]]-Таблица1[[#This Row],[Новая цена]]</f>
        <v>847</v>
      </c>
      <c r="H127">
        <v>35</v>
      </c>
    </row>
    <row r="128" spans="1:8" x14ac:dyDescent="0.25">
      <c r="A128" t="s">
        <v>25</v>
      </c>
      <c r="B128" t="s">
        <v>42</v>
      </c>
      <c r="C128" s="2">
        <v>1097</v>
      </c>
      <c r="D128" s="2">
        <v>4990</v>
      </c>
      <c r="E128" s="4" t="s">
        <v>7</v>
      </c>
      <c r="F128" s="3">
        <f>IFERROR((Таблица1[[#This Row],[Старая цена]]-Таблица1[[#This Row],[Новая цена]])/Таблица1[[#This Row],[Старая цена]],0)</f>
        <v>0.7801603206412826</v>
      </c>
      <c r="G128" s="5">
        <f>Таблица1[[#This Row],[Старая цена]]-Таблица1[[#This Row],[Новая цена]]</f>
        <v>3893</v>
      </c>
      <c r="H128">
        <v>332</v>
      </c>
    </row>
    <row r="129" spans="1:8" x14ac:dyDescent="0.25">
      <c r="A129" t="s">
        <v>65</v>
      </c>
      <c r="B129" t="s">
        <v>64</v>
      </c>
      <c r="C129" s="2">
        <v>795</v>
      </c>
      <c r="D129" s="2">
        <v>15900</v>
      </c>
      <c r="E129" s="4" t="s">
        <v>7</v>
      </c>
      <c r="F129" s="3">
        <f>IFERROR((Таблица1[[#This Row],[Старая цена]]-Таблица1[[#This Row],[Новая цена]])/Таблица1[[#This Row],[Старая цена]],0)</f>
        <v>0.95</v>
      </c>
      <c r="G129" s="5">
        <f>Таблица1[[#This Row],[Старая цена]]-Таблица1[[#This Row],[Новая цена]]</f>
        <v>15105</v>
      </c>
      <c r="H129">
        <v>1838</v>
      </c>
    </row>
    <row r="130" spans="1:8" x14ac:dyDescent="0.25">
      <c r="A130" t="s">
        <v>84</v>
      </c>
      <c r="B130" t="s">
        <v>117</v>
      </c>
      <c r="C130" s="2">
        <v>15192</v>
      </c>
      <c r="D130" s="2">
        <v>19990</v>
      </c>
      <c r="E130" s="4" t="s">
        <v>7</v>
      </c>
      <c r="F130" s="3">
        <f>IFERROR((Таблица1[[#This Row],[Старая цена]]-Таблица1[[#This Row],[Новая цена]])/Таблица1[[#This Row],[Старая цена]],0)</f>
        <v>0.2400200100050025</v>
      </c>
      <c r="G130" s="5">
        <f>Таблица1[[#This Row],[Старая цена]]-Таблица1[[#This Row],[Новая цена]]</f>
        <v>4798</v>
      </c>
      <c r="H130">
        <v>75</v>
      </c>
    </row>
    <row r="131" spans="1:8" x14ac:dyDescent="0.25">
      <c r="A131" t="s">
        <v>37</v>
      </c>
      <c r="B131" t="s">
        <v>36</v>
      </c>
      <c r="C131" s="2">
        <v>1489</v>
      </c>
      <c r="D131" s="2">
        <v>4515</v>
      </c>
      <c r="E131" s="4" t="s">
        <v>7</v>
      </c>
      <c r="F131" s="3">
        <f>IFERROR((Таблица1[[#This Row],[Старая цена]]-Таблица1[[#This Row],[Новая цена]])/Таблица1[[#This Row],[Старая цена]],0)</f>
        <v>0.67021040974529345</v>
      </c>
      <c r="G131" s="5">
        <f>Таблица1[[#This Row],[Старая цена]]-Таблица1[[#This Row],[Новая цена]]</f>
        <v>3026</v>
      </c>
      <c r="H131">
        <v>130</v>
      </c>
    </row>
    <row r="132" spans="1:8" x14ac:dyDescent="0.25">
      <c r="A132" t="s">
        <v>84</v>
      </c>
      <c r="B132" t="s">
        <v>117</v>
      </c>
      <c r="C132" s="2">
        <v>12993</v>
      </c>
      <c r="D132" s="2">
        <v>19990</v>
      </c>
      <c r="E132" s="4" t="s">
        <v>7</v>
      </c>
      <c r="F132" s="3">
        <f>IFERROR((Таблица1[[#This Row],[Старая цена]]-Таблица1[[#This Row],[Новая цена]])/Таблица1[[#This Row],[Старая цена]],0)</f>
        <v>0.35002501250625312</v>
      </c>
      <c r="G132" s="5">
        <f>Таблица1[[#This Row],[Старая цена]]-Таблица1[[#This Row],[Новая цена]]</f>
        <v>6997</v>
      </c>
      <c r="H132">
        <v>75</v>
      </c>
    </row>
    <row r="133" spans="1:8" x14ac:dyDescent="0.25">
      <c r="A133" t="s">
        <v>44</v>
      </c>
      <c r="B133" t="s">
        <v>43</v>
      </c>
      <c r="C133" s="2">
        <v>1491</v>
      </c>
      <c r="D133" s="2">
        <v>3550</v>
      </c>
      <c r="E133" s="4" t="s">
        <v>7</v>
      </c>
      <c r="F133" s="3">
        <f>IFERROR((Таблица1[[#This Row],[Старая цена]]-Таблица1[[#This Row],[Новая цена]])/Таблица1[[#This Row],[Старая цена]],0)</f>
        <v>0.57999999999999996</v>
      </c>
      <c r="G133" s="5">
        <f>Таблица1[[#This Row],[Старая цена]]-Таблица1[[#This Row],[Новая цена]]</f>
        <v>2059</v>
      </c>
      <c r="H133">
        <v>204</v>
      </c>
    </row>
    <row r="134" spans="1:8" x14ac:dyDescent="0.25">
      <c r="A134" t="s">
        <v>69</v>
      </c>
      <c r="B134" t="s">
        <v>161</v>
      </c>
      <c r="C134" s="2">
        <v>1763</v>
      </c>
      <c r="D134" s="2">
        <v>2799</v>
      </c>
      <c r="E134" s="4" t="s">
        <v>7</v>
      </c>
      <c r="F134" s="3">
        <f>IFERROR((Таблица1[[#This Row],[Старая цена]]-Таблица1[[#This Row],[Новая цена]])/Таблица1[[#This Row],[Старая цена]],0)</f>
        <v>0.37013219006788139</v>
      </c>
      <c r="G134" s="5">
        <f>Таблица1[[#This Row],[Старая цена]]-Таблица1[[#This Row],[Новая цена]]</f>
        <v>1036</v>
      </c>
      <c r="H134">
        <v>9</v>
      </c>
    </row>
    <row r="135" spans="1:8" x14ac:dyDescent="0.25">
      <c r="A135" t="s">
        <v>39</v>
      </c>
      <c r="B135" t="s">
        <v>53</v>
      </c>
      <c r="C135" s="2">
        <v>1072</v>
      </c>
      <c r="D135" s="2">
        <v>21448</v>
      </c>
      <c r="E135" s="4" t="s">
        <v>7</v>
      </c>
      <c r="F135" s="3">
        <f>IFERROR((Таблица1[[#This Row],[Старая цена]]-Таблица1[[#This Row],[Новая цена]])/Таблица1[[#This Row],[Старая цена]],0)</f>
        <v>0.95001864975755312</v>
      </c>
      <c r="G135" s="5">
        <f>Таблица1[[#This Row],[Старая цена]]-Таблица1[[#This Row],[Новая цена]]</f>
        <v>20376</v>
      </c>
      <c r="H135">
        <v>2391</v>
      </c>
    </row>
    <row r="136" spans="1:8" x14ac:dyDescent="0.25">
      <c r="A136" t="s">
        <v>163</v>
      </c>
      <c r="B136" t="s">
        <v>162</v>
      </c>
      <c r="C136" s="2">
        <v>31198</v>
      </c>
      <c r="D136" s="2">
        <v>51997</v>
      </c>
      <c r="E136" s="4" t="s">
        <v>7</v>
      </c>
      <c r="F136" s="3">
        <f>IFERROR((Таблица1[[#This Row],[Старая цена]]-Таблица1[[#This Row],[Новая цена]])/Таблица1[[#This Row],[Старая цена]],0)</f>
        <v>0.40000384637575243</v>
      </c>
      <c r="G136" s="5">
        <f>Таблица1[[#This Row],[Старая цена]]-Таблица1[[#This Row],[Новая цена]]</f>
        <v>20799</v>
      </c>
      <c r="H136">
        <v>12</v>
      </c>
    </row>
    <row r="137" spans="1:8" x14ac:dyDescent="0.25">
      <c r="A137" t="s">
        <v>84</v>
      </c>
      <c r="B137" t="s">
        <v>164</v>
      </c>
      <c r="C137" s="2">
        <v>9552</v>
      </c>
      <c r="D137" s="2">
        <v>16190</v>
      </c>
      <c r="E137" s="4" t="s">
        <v>7</v>
      </c>
      <c r="F137" s="3">
        <f>IFERROR((Таблица1[[#This Row],[Старая цена]]-Таблица1[[#This Row],[Новая цена]])/Таблица1[[#This Row],[Старая цена]],0)</f>
        <v>0.41000617665225447</v>
      </c>
      <c r="G137" s="5">
        <f>Таблица1[[#This Row],[Старая цена]]-Таблица1[[#This Row],[Новая цена]]</f>
        <v>6638</v>
      </c>
      <c r="H137">
        <v>124</v>
      </c>
    </row>
    <row r="138" spans="1:8" x14ac:dyDescent="0.25">
      <c r="A138" t="s">
        <v>7</v>
      </c>
      <c r="B138" t="s">
        <v>58</v>
      </c>
      <c r="C138" s="2">
        <v>975</v>
      </c>
      <c r="D138" s="2">
        <v>5740</v>
      </c>
      <c r="E138" s="4" t="s">
        <v>7</v>
      </c>
      <c r="F138" s="3">
        <f>IFERROR((Таблица1[[#This Row],[Старая цена]]-Таблица1[[#This Row],[Новая цена]])/Таблица1[[#This Row],[Старая цена]],0)</f>
        <v>0.83013937282229966</v>
      </c>
      <c r="G138" s="5">
        <f>Таблица1[[#This Row],[Старая цена]]-Таблица1[[#This Row],[Новая цена]]</f>
        <v>4765</v>
      </c>
      <c r="H138">
        <v>139</v>
      </c>
    </row>
    <row r="139" spans="1:8" x14ac:dyDescent="0.25">
      <c r="A139" t="s">
        <v>63</v>
      </c>
      <c r="B139" t="s">
        <v>62</v>
      </c>
      <c r="C139" s="2">
        <v>1796</v>
      </c>
      <c r="D139" s="2">
        <v>4990</v>
      </c>
      <c r="E139" s="4" t="s">
        <v>7</v>
      </c>
      <c r="F139" s="3">
        <f>IFERROR((Таблица1[[#This Row],[Старая цена]]-Таблица1[[#This Row],[Новая цена]])/Таблица1[[#This Row],[Старая цена]],0)</f>
        <v>0.6400801603206413</v>
      </c>
      <c r="G139" s="5">
        <f>Таблица1[[#This Row],[Старая цена]]-Таблица1[[#This Row],[Новая цена]]</f>
        <v>3194</v>
      </c>
      <c r="H139">
        <v>73</v>
      </c>
    </row>
    <row r="140" spans="1:8" x14ac:dyDescent="0.25">
      <c r="A140" t="s">
        <v>79</v>
      </c>
      <c r="B140" t="s">
        <v>78</v>
      </c>
      <c r="C140" s="2">
        <v>385</v>
      </c>
      <c r="D140" s="2">
        <v>1100</v>
      </c>
      <c r="E140" s="4" t="s">
        <v>7</v>
      </c>
      <c r="F140" s="3">
        <f>IFERROR((Таблица1[[#This Row],[Старая цена]]-Таблица1[[#This Row],[Новая цена]])/Таблица1[[#This Row],[Старая цена]],0)</f>
        <v>0.65</v>
      </c>
      <c r="G140" s="5">
        <f>Таблица1[[#This Row],[Старая цена]]-Таблица1[[#This Row],[Новая цена]]</f>
        <v>715</v>
      </c>
      <c r="H140">
        <v>74</v>
      </c>
    </row>
    <row r="141" spans="1:8" x14ac:dyDescent="0.25">
      <c r="A141" t="s">
        <v>50</v>
      </c>
      <c r="B141" t="s">
        <v>49</v>
      </c>
      <c r="C141" s="2">
        <v>1368</v>
      </c>
      <c r="D141" s="2">
        <v>2319</v>
      </c>
      <c r="E141" s="4" t="s">
        <v>7</v>
      </c>
      <c r="F141" s="3">
        <f>IFERROR((Таблица1[[#This Row],[Старая цена]]-Таблица1[[#This Row],[Новая цена]])/Таблица1[[#This Row],[Старая цена]],0)</f>
        <v>0.41009055627425617</v>
      </c>
      <c r="G141" s="5">
        <f>Таблица1[[#This Row],[Старая цена]]-Таблица1[[#This Row],[Новая цена]]</f>
        <v>951</v>
      </c>
      <c r="H141">
        <v>338</v>
      </c>
    </row>
    <row r="142" spans="1:8" x14ac:dyDescent="0.25">
      <c r="A142" t="s">
        <v>50</v>
      </c>
      <c r="B142" t="s">
        <v>61</v>
      </c>
      <c r="C142" s="2">
        <v>1432</v>
      </c>
      <c r="D142" s="2">
        <v>7957</v>
      </c>
      <c r="E142" s="4" t="s">
        <v>7</v>
      </c>
      <c r="F142" s="3">
        <f>IFERROR((Таблица1[[#This Row],[Старая цена]]-Таблица1[[#This Row],[Новая цена]])/Таблица1[[#This Row],[Старая цена]],0)</f>
        <v>0.82003267563151938</v>
      </c>
      <c r="G142" s="5">
        <f>Таблица1[[#This Row],[Старая цена]]-Таблица1[[#This Row],[Новая цена]]</f>
        <v>6525</v>
      </c>
      <c r="H142">
        <v>878</v>
      </c>
    </row>
    <row r="143" spans="1:8" x14ac:dyDescent="0.25">
      <c r="A143" t="s">
        <v>39</v>
      </c>
      <c r="B143" t="s">
        <v>70</v>
      </c>
      <c r="C143" s="2">
        <v>1034</v>
      </c>
      <c r="D143" s="2">
        <v>20699</v>
      </c>
      <c r="E143" s="4" t="s">
        <v>7</v>
      </c>
      <c r="F143" s="3">
        <f>IFERROR((Таблица1[[#This Row],[Старая цена]]-Таблица1[[#This Row],[Новая цена]])/Таблица1[[#This Row],[Старая цена]],0)</f>
        <v>0.95004589593700184</v>
      </c>
      <c r="G143" s="5">
        <f>Таблица1[[#This Row],[Старая цена]]-Таблица1[[#This Row],[Новая цена]]</f>
        <v>19665</v>
      </c>
      <c r="H143">
        <v>2391</v>
      </c>
    </row>
    <row r="144" spans="1:8" x14ac:dyDescent="0.25">
      <c r="A144" t="s">
        <v>57</v>
      </c>
      <c r="B144" t="s">
        <v>56</v>
      </c>
      <c r="C144" s="2">
        <v>4956</v>
      </c>
      <c r="D144" s="2">
        <v>8400</v>
      </c>
      <c r="E144" s="4" t="s">
        <v>7</v>
      </c>
      <c r="F144" s="3">
        <f>IFERROR((Таблица1[[#This Row],[Старая цена]]-Таблица1[[#This Row],[Новая цена]])/Таблица1[[#This Row],[Старая цена]],0)</f>
        <v>0.41</v>
      </c>
      <c r="G144" s="5">
        <f>Таблица1[[#This Row],[Старая цена]]-Таблица1[[#This Row],[Новая цена]]</f>
        <v>3444</v>
      </c>
      <c r="H144">
        <v>69</v>
      </c>
    </row>
    <row r="145" spans="1:8" x14ac:dyDescent="0.25">
      <c r="A145" t="s">
        <v>76</v>
      </c>
      <c r="B145" t="s">
        <v>165</v>
      </c>
      <c r="C145" s="2">
        <v>3511</v>
      </c>
      <c r="D145" s="2">
        <v>9490</v>
      </c>
      <c r="E145" s="4" t="s">
        <v>7</v>
      </c>
      <c r="F145" s="3">
        <f>IFERROR((Таблица1[[#This Row],[Старая цена]]-Таблица1[[#This Row],[Новая цена]])/Таблица1[[#This Row],[Старая цена]],0)</f>
        <v>0.6300316122233931</v>
      </c>
      <c r="G145" s="5">
        <f>Таблица1[[#This Row],[Старая цена]]-Таблица1[[#This Row],[Новая цена]]</f>
        <v>5979</v>
      </c>
      <c r="H145">
        <v>18</v>
      </c>
    </row>
    <row r="146" spans="1:8" x14ac:dyDescent="0.25">
      <c r="A146" t="s">
        <v>73</v>
      </c>
      <c r="B146" t="s">
        <v>150</v>
      </c>
      <c r="C146" s="2">
        <v>527</v>
      </c>
      <c r="D146" s="2">
        <v>3100</v>
      </c>
      <c r="E146" s="4" t="s">
        <v>7</v>
      </c>
      <c r="F146" s="3">
        <f>IFERROR((Таблица1[[#This Row],[Старая цена]]-Таблица1[[#This Row],[Новая цена]])/Таблица1[[#This Row],[Старая цена]],0)</f>
        <v>0.83</v>
      </c>
      <c r="G146" s="5">
        <f>Таблица1[[#This Row],[Старая цена]]-Таблица1[[#This Row],[Новая цена]]</f>
        <v>2573</v>
      </c>
      <c r="H146">
        <v>145</v>
      </c>
    </row>
    <row r="147" spans="1:8" x14ac:dyDescent="0.25">
      <c r="A147" t="s">
        <v>163</v>
      </c>
      <c r="B147" t="s">
        <v>166</v>
      </c>
      <c r="C147" s="2">
        <v>36798</v>
      </c>
      <c r="D147" s="2">
        <v>61330</v>
      </c>
      <c r="E147" s="4" t="s">
        <v>7</v>
      </c>
      <c r="F147" s="3">
        <f>IFERROR((Таблица1[[#This Row],[Старая цена]]-Таблица1[[#This Row],[Новая цена]])/Таблица1[[#This Row],[Старая цена]],0)</f>
        <v>0.4</v>
      </c>
      <c r="G147" s="5">
        <f>Таблица1[[#This Row],[Старая цена]]-Таблица1[[#This Row],[Новая цена]]</f>
        <v>24532</v>
      </c>
      <c r="H147">
        <v>16</v>
      </c>
    </row>
    <row r="148" spans="1:8" x14ac:dyDescent="0.25">
      <c r="A148" t="s">
        <v>46</v>
      </c>
      <c r="B148" t="s">
        <v>125</v>
      </c>
      <c r="C148" s="2">
        <v>2990</v>
      </c>
      <c r="D148" s="2">
        <v>23000</v>
      </c>
      <c r="E148" s="4" t="s">
        <v>7</v>
      </c>
      <c r="F148" s="3">
        <f>IFERROR((Таблица1[[#This Row],[Старая цена]]-Таблица1[[#This Row],[Новая цена]])/Таблица1[[#This Row],[Старая цена]],0)</f>
        <v>0.87</v>
      </c>
      <c r="G148" s="5">
        <f>Таблица1[[#This Row],[Старая цена]]-Таблица1[[#This Row],[Новая цена]]</f>
        <v>20010</v>
      </c>
      <c r="H148">
        <v>0</v>
      </c>
    </row>
    <row r="149" spans="1:8" x14ac:dyDescent="0.25">
      <c r="A149" t="s">
        <v>65</v>
      </c>
      <c r="B149" t="s">
        <v>64</v>
      </c>
      <c r="C149" s="2">
        <v>795</v>
      </c>
      <c r="D149" s="2">
        <v>15900</v>
      </c>
      <c r="E149" s="4" t="s">
        <v>7</v>
      </c>
      <c r="F149" s="3">
        <f>IFERROR((Таблица1[[#This Row],[Старая цена]]-Таблица1[[#This Row],[Новая цена]])/Таблица1[[#This Row],[Старая цена]],0)</f>
        <v>0.95</v>
      </c>
      <c r="G149" s="5">
        <f>Таблица1[[#This Row],[Старая цена]]-Таблица1[[#This Row],[Новая цена]]</f>
        <v>15105</v>
      </c>
      <c r="H149">
        <v>1838</v>
      </c>
    </row>
    <row r="150" spans="1:8" x14ac:dyDescent="0.25">
      <c r="A150" t="s">
        <v>67</v>
      </c>
      <c r="B150" t="s">
        <v>66</v>
      </c>
      <c r="C150" s="2">
        <v>999</v>
      </c>
      <c r="D150" s="2">
        <v>4541</v>
      </c>
      <c r="E150" s="4" t="s">
        <v>7</v>
      </c>
      <c r="F150" s="3">
        <f>IFERROR((Таблица1[[#This Row],[Старая цена]]-Таблица1[[#This Row],[Новая цена]])/Таблица1[[#This Row],[Старая цена]],0)</f>
        <v>0.78000440431622986</v>
      </c>
      <c r="G150" s="5">
        <f>Таблица1[[#This Row],[Старая цена]]-Таблица1[[#This Row],[Новая цена]]</f>
        <v>3542</v>
      </c>
      <c r="H150">
        <v>345</v>
      </c>
    </row>
    <row r="151" spans="1:8" x14ac:dyDescent="0.25">
      <c r="A151" t="s">
        <v>84</v>
      </c>
      <c r="B151" t="s">
        <v>117</v>
      </c>
      <c r="C151" s="2">
        <v>14792</v>
      </c>
      <c r="D151" s="2">
        <v>19990</v>
      </c>
      <c r="E151" s="4" t="s">
        <v>7</v>
      </c>
      <c r="F151" s="3">
        <f>IFERROR((Таблица1[[#This Row],[Старая цена]]-Таблица1[[#This Row],[Новая цена]])/Таблица1[[#This Row],[Старая цена]],0)</f>
        <v>0.26003001500750378</v>
      </c>
      <c r="G151" s="5">
        <f>Таблица1[[#This Row],[Старая цена]]-Таблица1[[#This Row],[Новая цена]]</f>
        <v>5198</v>
      </c>
      <c r="H151">
        <v>75</v>
      </c>
    </row>
    <row r="152" spans="1:8" x14ac:dyDescent="0.25">
      <c r="A152" t="s">
        <v>82</v>
      </c>
      <c r="B152" t="s">
        <v>81</v>
      </c>
      <c r="C152" s="2">
        <v>3504</v>
      </c>
      <c r="D152" s="2">
        <v>8985</v>
      </c>
      <c r="E152" s="4" t="s">
        <v>7</v>
      </c>
      <c r="F152" s="3">
        <f>IFERROR((Таблица1[[#This Row],[Старая цена]]-Таблица1[[#This Row],[Новая цена]])/Таблица1[[#This Row],[Старая цена]],0)</f>
        <v>0.61001669449081808</v>
      </c>
      <c r="G152" s="5">
        <f>Таблица1[[#This Row],[Старая цена]]-Таблица1[[#This Row],[Новая цена]]</f>
        <v>5481</v>
      </c>
      <c r="H152">
        <v>162</v>
      </c>
    </row>
    <row r="153" spans="1:8" x14ac:dyDescent="0.25">
      <c r="A153" t="s">
        <v>84</v>
      </c>
      <c r="B153" t="s">
        <v>167</v>
      </c>
      <c r="C153" s="2">
        <v>15392</v>
      </c>
      <c r="D153" s="2">
        <v>19990</v>
      </c>
      <c r="E153" s="4" t="s">
        <v>7</v>
      </c>
      <c r="F153" s="3">
        <f>IFERROR((Таблица1[[#This Row],[Старая цена]]-Таблица1[[#This Row],[Новая цена]])/Таблица1[[#This Row],[Старая цена]],0)</f>
        <v>0.23001500750375187</v>
      </c>
      <c r="G153" s="5">
        <f>Таблица1[[#This Row],[Старая цена]]-Таблица1[[#This Row],[Новая цена]]</f>
        <v>4598</v>
      </c>
      <c r="H153">
        <v>63</v>
      </c>
    </row>
    <row r="154" spans="1:8" x14ac:dyDescent="0.25">
      <c r="A154" t="s">
        <v>65</v>
      </c>
      <c r="B154" t="s">
        <v>64</v>
      </c>
      <c r="C154" s="2">
        <v>795</v>
      </c>
      <c r="D154" s="2">
        <v>15900</v>
      </c>
      <c r="E154" s="4" t="s">
        <v>7</v>
      </c>
      <c r="F154" s="3">
        <f>IFERROR((Таблица1[[#This Row],[Старая цена]]-Таблица1[[#This Row],[Новая цена]])/Таблица1[[#This Row],[Старая цена]],0)</f>
        <v>0.95</v>
      </c>
      <c r="G154" s="5">
        <f>Таблица1[[#This Row],[Старая цена]]-Таблица1[[#This Row],[Новая цена]]</f>
        <v>15105</v>
      </c>
      <c r="H154">
        <v>1838</v>
      </c>
    </row>
    <row r="155" spans="1:8" x14ac:dyDescent="0.25">
      <c r="A155" t="s">
        <v>141</v>
      </c>
      <c r="B155" t="s">
        <v>140</v>
      </c>
      <c r="C155" s="2">
        <v>1290</v>
      </c>
      <c r="E155" s="4" t="s">
        <v>7</v>
      </c>
      <c r="F155" s="3">
        <f>IFERROR((Таблица1[[#This Row],[Старая цена]]-Таблица1[[#This Row],[Новая цена]])/Таблица1[[#This Row],[Старая цена]],0)</f>
        <v>0</v>
      </c>
      <c r="G155" s="5">
        <f>Таблица1[[#This Row],[Старая цена]]-Таблица1[[#This Row],[Новая цена]]</f>
        <v>-1290</v>
      </c>
      <c r="H155">
        <v>189</v>
      </c>
    </row>
    <row r="156" spans="1:8" x14ac:dyDescent="0.25">
      <c r="A156" t="s">
        <v>37</v>
      </c>
      <c r="B156" t="s">
        <v>36</v>
      </c>
      <c r="C156" s="2">
        <v>1490</v>
      </c>
      <c r="D156" s="2">
        <v>4657</v>
      </c>
      <c r="E156" s="4" t="s">
        <v>7</v>
      </c>
      <c r="F156" s="3">
        <f>IFERROR((Таблица1[[#This Row],[Старая цена]]-Таблица1[[#This Row],[Новая цена]])/Таблица1[[#This Row],[Старая цена]],0)</f>
        <v>0.68005153532316942</v>
      </c>
      <c r="G156" s="5">
        <f>Таблица1[[#This Row],[Старая цена]]-Таблица1[[#This Row],[Новая цена]]</f>
        <v>3167</v>
      </c>
      <c r="H156">
        <v>195</v>
      </c>
    </row>
    <row r="157" spans="1:8" x14ac:dyDescent="0.25">
      <c r="A157" t="s">
        <v>60</v>
      </c>
      <c r="B157" t="s">
        <v>59</v>
      </c>
      <c r="C157" s="2">
        <v>3552</v>
      </c>
      <c r="D157" s="2">
        <v>14800</v>
      </c>
      <c r="E157" s="4" t="s">
        <v>7</v>
      </c>
      <c r="F157" s="3">
        <f>IFERROR((Таблица1[[#This Row],[Старая цена]]-Таблица1[[#This Row],[Новая цена]])/Таблица1[[#This Row],[Старая цена]],0)</f>
        <v>0.76</v>
      </c>
      <c r="G157" s="5">
        <f>Таблица1[[#This Row],[Старая цена]]-Таблица1[[#This Row],[Новая цена]]</f>
        <v>11248</v>
      </c>
      <c r="H157">
        <v>397</v>
      </c>
    </row>
    <row r="158" spans="1:8" x14ac:dyDescent="0.25">
      <c r="A158" t="s">
        <v>127</v>
      </c>
      <c r="B158" t="s">
        <v>126</v>
      </c>
      <c r="C158" s="2">
        <v>3431</v>
      </c>
      <c r="D158" s="2">
        <v>13197</v>
      </c>
      <c r="E158" s="4" t="s">
        <v>7</v>
      </c>
      <c r="F158" s="3">
        <f>IFERROR((Таблица1[[#This Row],[Старая цена]]-Таблица1[[#This Row],[Новая цена]])/Таблица1[[#This Row],[Старая цена]],0)</f>
        <v>0.74001667045540653</v>
      </c>
      <c r="G158" s="5">
        <f>Таблица1[[#This Row],[Старая цена]]-Таблица1[[#This Row],[Новая цена]]</f>
        <v>9766</v>
      </c>
      <c r="H158">
        <v>22</v>
      </c>
    </row>
    <row r="159" spans="1:8" x14ac:dyDescent="0.25">
      <c r="A159" t="s">
        <v>114</v>
      </c>
      <c r="B159" t="s">
        <v>113</v>
      </c>
      <c r="C159" s="2">
        <v>1326</v>
      </c>
      <c r="D159" s="2">
        <v>2600</v>
      </c>
      <c r="E159" s="4" t="s">
        <v>7</v>
      </c>
      <c r="F159" s="3">
        <f>IFERROR((Таблица1[[#This Row],[Старая цена]]-Таблица1[[#This Row],[Новая цена]])/Таблица1[[#This Row],[Старая цена]],0)</f>
        <v>0.49</v>
      </c>
      <c r="G159" s="5">
        <f>Таблица1[[#This Row],[Старая цена]]-Таблица1[[#This Row],[Новая цена]]</f>
        <v>1274</v>
      </c>
      <c r="H159">
        <v>81</v>
      </c>
    </row>
    <row r="160" spans="1:8" x14ac:dyDescent="0.25">
      <c r="A160" t="s">
        <v>39</v>
      </c>
      <c r="B160" t="s">
        <v>70</v>
      </c>
      <c r="C160" s="2">
        <v>1065</v>
      </c>
      <c r="D160" s="2">
        <v>21306</v>
      </c>
      <c r="E160" s="4" t="s">
        <v>7</v>
      </c>
      <c r="F160" s="3">
        <f>IFERROR((Таблица1[[#This Row],[Старая цена]]-Таблица1[[#This Row],[Новая цена]])/Таблица1[[#This Row],[Старая цена]],0)</f>
        <v>0.95001408054069281</v>
      </c>
      <c r="G160" s="5">
        <f>Таблица1[[#This Row],[Старая цена]]-Таблица1[[#This Row],[Новая цена]]</f>
        <v>20241</v>
      </c>
      <c r="H160">
        <v>2391</v>
      </c>
    </row>
    <row r="161" spans="1:8" x14ac:dyDescent="0.25">
      <c r="A161" t="s">
        <v>89</v>
      </c>
      <c r="B161" t="s">
        <v>88</v>
      </c>
      <c r="C161" s="2">
        <v>1675</v>
      </c>
      <c r="D161" s="2">
        <v>3990</v>
      </c>
      <c r="E161" s="4" t="s">
        <v>7</v>
      </c>
      <c r="F161" s="3">
        <f>IFERROR((Таблица1[[#This Row],[Старая цена]]-Таблица1[[#This Row],[Новая цена]])/Таблица1[[#This Row],[Старая цена]],0)</f>
        <v>0.58020050125313283</v>
      </c>
      <c r="G161" s="5">
        <f>Таблица1[[#This Row],[Старая цена]]-Таблица1[[#This Row],[Новая цена]]</f>
        <v>2315</v>
      </c>
      <c r="H161">
        <v>59</v>
      </c>
    </row>
    <row r="162" spans="1:8" x14ac:dyDescent="0.25">
      <c r="A162" t="s">
        <v>19</v>
      </c>
      <c r="B162" t="s">
        <v>168</v>
      </c>
      <c r="C162" s="2">
        <v>15752</v>
      </c>
      <c r="D162" s="2">
        <v>17900</v>
      </c>
      <c r="E162" s="4" t="s">
        <v>7</v>
      </c>
      <c r="F162" s="3">
        <f>IFERROR((Таблица1[[#This Row],[Старая цена]]-Таблица1[[#This Row],[Новая цена]])/Таблица1[[#This Row],[Старая цена]],0)</f>
        <v>0.12</v>
      </c>
      <c r="G162" s="5">
        <f>Таблица1[[#This Row],[Старая цена]]-Таблица1[[#This Row],[Новая цена]]</f>
        <v>2148</v>
      </c>
      <c r="H162">
        <v>94</v>
      </c>
    </row>
    <row r="163" spans="1:8" x14ac:dyDescent="0.25">
      <c r="A163" t="s">
        <v>84</v>
      </c>
      <c r="B163" t="s">
        <v>147</v>
      </c>
      <c r="C163" s="2">
        <v>13652</v>
      </c>
      <c r="D163" s="2">
        <v>31749</v>
      </c>
      <c r="E163" s="4" t="s">
        <v>7</v>
      </c>
      <c r="F163" s="3">
        <f>IFERROR((Таблица1[[#This Row],[Старая цена]]-Таблица1[[#This Row],[Новая цена]])/Таблица1[[#This Row],[Старая цена]],0)</f>
        <v>0.57000220479385177</v>
      </c>
      <c r="G163" s="5">
        <f>Таблица1[[#This Row],[Старая цена]]-Таблица1[[#This Row],[Новая цена]]</f>
        <v>18097</v>
      </c>
      <c r="H163">
        <v>123</v>
      </c>
    </row>
    <row r="164" spans="1:8" x14ac:dyDescent="0.25">
      <c r="A164" t="s">
        <v>57</v>
      </c>
      <c r="B164" t="s">
        <v>56</v>
      </c>
      <c r="C164" s="2">
        <v>4956</v>
      </c>
      <c r="D164" s="2">
        <v>8400</v>
      </c>
      <c r="E164" s="4" t="s">
        <v>7</v>
      </c>
      <c r="F164" s="3">
        <f>IFERROR((Таблица1[[#This Row],[Старая цена]]-Таблица1[[#This Row],[Новая цена]])/Таблица1[[#This Row],[Старая цена]],0)</f>
        <v>0.41</v>
      </c>
      <c r="G164" s="5">
        <f>Таблица1[[#This Row],[Старая цена]]-Таблица1[[#This Row],[Новая цена]]</f>
        <v>3444</v>
      </c>
      <c r="H164">
        <v>69</v>
      </c>
    </row>
    <row r="165" spans="1:8" x14ac:dyDescent="0.25">
      <c r="A165" t="s">
        <v>44</v>
      </c>
      <c r="B165" t="s">
        <v>80</v>
      </c>
      <c r="C165" s="2">
        <v>833</v>
      </c>
      <c r="D165" s="2">
        <v>4900</v>
      </c>
      <c r="E165" s="4" t="s">
        <v>7</v>
      </c>
      <c r="F165" s="3">
        <f>IFERROR((Таблица1[[#This Row],[Старая цена]]-Таблица1[[#This Row],[Новая цена]])/Таблица1[[#This Row],[Старая цена]],0)</f>
        <v>0.83</v>
      </c>
      <c r="G165" s="5">
        <f>Таблица1[[#This Row],[Старая цена]]-Таблица1[[#This Row],[Новая цена]]</f>
        <v>4067</v>
      </c>
      <c r="H165">
        <v>1620</v>
      </c>
    </row>
    <row r="166" spans="1:8" x14ac:dyDescent="0.25">
      <c r="A166" t="s">
        <v>108</v>
      </c>
      <c r="B166" t="s">
        <v>107</v>
      </c>
      <c r="C166" s="2">
        <v>1558</v>
      </c>
      <c r="D166" s="2">
        <v>4870</v>
      </c>
      <c r="E166" s="4" t="s">
        <v>7</v>
      </c>
      <c r="F166" s="3">
        <f>IFERROR((Таблица1[[#This Row],[Старая цена]]-Таблица1[[#This Row],[Новая цена]])/Таблица1[[#This Row],[Старая цена]],0)</f>
        <v>0.68008213552361396</v>
      </c>
      <c r="G166" s="5">
        <f>Таблица1[[#This Row],[Старая цена]]-Таблица1[[#This Row],[Новая цена]]</f>
        <v>3312</v>
      </c>
      <c r="H166">
        <v>16</v>
      </c>
    </row>
    <row r="167" spans="1:8" x14ac:dyDescent="0.25">
      <c r="A167" t="s">
        <v>46</v>
      </c>
      <c r="B167" t="s">
        <v>87</v>
      </c>
      <c r="C167" s="2">
        <v>770</v>
      </c>
      <c r="D167" s="2">
        <v>1400</v>
      </c>
      <c r="E167" s="4" t="s">
        <v>7</v>
      </c>
      <c r="F167" s="3">
        <f>IFERROR((Таблица1[[#This Row],[Старая цена]]-Таблица1[[#This Row],[Новая цена]])/Таблица1[[#This Row],[Старая цена]],0)</f>
        <v>0.45</v>
      </c>
      <c r="G167" s="5">
        <f>Таблица1[[#This Row],[Старая цена]]-Таблица1[[#This Row],[Новая цена]]</f>
        <v>630</v>
      </c>
      <c r="H167">
        <v>340</v>
      </c>
    </row>
    <row r="168" spans="1:8" x14ac:dyDescent="0.25">
      <c r="A168" t="s">
        <v>104</v>
      </c>
      <c r="B168" t="s">
        <v>103</v>
      </c>
      <c r="C168" s="2">
        <v>879</v>
      </c>
      <c r="D168" s="2">
        <v>8790</v>
      </c>
      <c r="E168" s="4" t="s">
        <v>7</v>
      </c>
      <c r="F168" s="3">
        <f>IFERROR((Таблица1[[#This Row],[Старая цена]]-Таблица1[[#This Row],[Новая цена]])/Таблица1[[#This Row],[Старая цена]],0)</f>
        <v>0.9</v>
      </c>
      <c r="G168" s="5">
        <f>Таблица1[[#This Row],[Старая цена]]-Таблица1[[#This Row],[Новая цена]]</f>
        <v>7911</v>
      </c>
      <c r="H168">
        <v>432</v>
      </c>
    </row>
    <row r="169" spans="1:8" x14ac:dyDescent="0.25">
      <c r="A169" t="s">
        <v>114</v>
      </c>
      <c r="B169" t="s">
        <v>113</v>
      </c>
      <c r="C169" s="2">
        <v>1326</v>
      </c>
      <c r="D169" s="2">
        <v>2600</v>
      </c>
      <c r="E169" s="4" t="s">
        <v>7</v>
      </c>
      <c r="F169" s="3">
        <f>IFERROR((Таблица1[[#This Row],[Старая цена]]-Таблица1[[#This Row],[Новая цена]])/Таблица1[[#This Row],[Старая цена]],0)</f>
        <v>0.49</v>
      </c>
      <c r="G169" s="5">
        <f>Таблица1[[#This Row],[Старая цена]]-Таблица1[[#This Row],[Новая цена]]</f>
        <v>1274</v>
      </c>
      <c r="H169">
        <v>81</v>
      </c>
    </row>
    <row r="170" spans="1:8" x14ac:dyDescent="0.25">
      <c r="A170" t="s">
        <v>84</v>
      </c>
      <c r="B170" t="s">
        <v>83</v>
      </c>
      <c r="C170" s="2">
        <v>12312</v>
      </c>
      <c r="D170" s="2">
        <v>15990</v>
      </c>
      <c r="E170" s="4" t="s">
        <v>7</v>
      </c>
      <c r="F170" s="3">
        <f>IFERROR((Таблица1[[#This Row],[Старая цена]]-Таблица1[[#This Row],[Новая цена]])/Таблица1[[#This Row],[Старая цена]],0)</f>
        <v>0.2300187617260788</v>
      </c>
      <c r="G170" s="5">
        <f>Таблица1[[#This Row],[Старая цена]]-Таблица1[[#This Row],[Новая цена]]</f>
        <v>3678</v>
      </c>
      <c r="H170">
        <v>59</v>
      </c>
    </row>
    <row r="171" spans="1:8" x14ac:dyDescent="0.25">
      <c r="A171" t="s">
        <v>101</v>
      </c>
      <c r="B171" t="s">
        <v>169</v>
      </c>
      <c r="C171" s="2">
        <v>1650</v>
      </c>
      <c r="D171" s="2">
        <v>5500</v>
      </c>
      <c r="E171" s="4" t="s">
        <v>7</v>
      </c>
      <c r="F171" s="3">
        <f>IFERROR((Таблица1[[#This Row],[Старая цена]]-Таблица1[[#This Row],[Новая цена]])/Таблица1[[#This Row],[Старая цена]],0)</f>
        <v>0.7</v>
      </c>
      <c r="G171" s="5">
        <f>Таблица1[[#This Row],[Старая цена]]-Таблица1[[#This Row],[Новая цена]]</f>
        <v>3850</v>
      </c>
      <c r="H171">
        <v>12</v>
      </c>
    </row>
    <row r="172" spans="1:8" x14ac:dyDescent="0.25">
      <c r="A172" t="s">
        <v>171</v>
      </c>
      <c r="B172" t="s">
        <v>170</v>
      </c>
      <c r="C172" s="2">
        <v>3180</v>
      </c>
      <c r="D172" s="2">
        <v>10260</v>
      </c>
      <c r="E172" s="4" t="s">
        <v>7</v>
      </c>
      <c r="F172" s="3">
        <f>IFERROR((Таблица1[[#This Row],[Старая цена]]-Таблица1[[#This Row],[Новая цена]])/Таблица1[[#This Row],[Старая цена]],0)</f>
        <v>0.6900584795321637</v>
      </c>
      <c r="G172" s="5">
        <f>Таблица1[[#This Row],[Старая цена]]-Таблица1[[#This Row],[Новая цена]]</f>
        <v>7080</v>
      </c>
      <c r="H172">
        <v>108</v>
      </c>
    </row>
    <row r="173" spans="1:8" x14ac:dyDescent="0.25">
      <c r="A173" t="s">
        <v>76</v>
      </c>
      <c r="B173" t="s">
        <v>172</v>
      </c>
      <c r="C173" s="2">
        <v>3430</v>
      </c>
      <c r="D173" s="2">
        <v>7000</v>
      </c>
      <c r="E173" s="4" t="s">
        <v>7</v>
      </c>
      <c r="F173" s="3">
        <f>IFERROR((Таблица1[[#This Row],[Старая цена]]-Таблица1[[#This Row],[Новая цена]])/Таблица1[[#This Row],[Старая цена]],0)</f>
        <v>0.51</v>
      </c>
      <c r="G173" s="5">
        <f>Таблица1[[#This Row],[Старая цена]]-Таблица1[[#This Row],[Новая цена]]</f>
        <v>3570</v>
      </c>
      <c r="H173">
        <v>35</v>
      </c>
    </row>
    <row r="174" spans="1:8" x14ac:dyDescent="0.25">
      <c r="A174" t="s">
        <v>174</v>
      </c>
      <c r="B174" t="s">
        <v>173</v>
      </c>
      <c r="C174" s="2">
        <v>1090</v>
      </c>
      <c r="D174" s="2">
        <v>21800</v>
      </c>
      <c r="E174" s="4" t="s">
        <v>7</v>
      </c>
      <c r="F174" s="3">
        <f>IFERROR((Таблица1[[#This Row],[Старая цена]]-Таблица1[[#This Row],[Новая цена]])/Таблица1[[#This Row],[Старая цена]],0)</f>
        <v>0.95</v>
      </c>
      <c r="G174" s="5">
        <f>Таблица1[[#This Row],[Старая цена]]-Таблица1[[#This Row],[Новая цена]]</f>
        <v>20710</v>
      </c>
      <c r="H174">
        <v>22</v>
      </c>
    </row>
    <row r="175" spans="1:8" x14ac:dyDescent="0.25">
      <c r="A175" t="s">
        <v>21</v>
      </c>
      <c r="B175" t="s">
        <v>133</v>
      </c>
      <c r="C175" s="2">
        <v>1599</v>
      </c>
      <c r="D175" s="2">
        <v>7996</v>
      </c>
      <c r="E175" s="4" t="s">
        <v>7</v>
      </c>
      <c r="F175" s="3">
        <f>IFERROR((Таблица1[[#This Row],[Старая цена]]-Таблица1[[#This Row],[Новая цена]])/Таблица1[[#This Row],[Старая цена]],0)</f>
        <v>0.80002501250625313</v>
      </c>
      <c r="G175" s="5">
        <f>Таблица1[[#This Row],[Старая цена]]-Таблица1[[#This Row],[Новая цена]]</f>
        <v>6397</v>
      </c>
      <c r="H175">
        <v>550</v>
      </c>
    </row>
    <row r="176" spans="1:8" x14ac:dyDescent="0.25">
      <c r="A176" t="s">
        <v>84</v>
      </c>
      <c r="B176" t="s">
        <v>147</v>
      </c>
      <c r="C176" s="2">
        <v>13007</v>
      </c>
      <c r="D176" s="2">
        <v>30249</v>
      </c>
      <c r="E176" s="4" t="s">
        <v>7</v>
      </c>
      <c r="F176" s="3">
        <f>IFERROR((Таблица1[[#This Row],[Старая цена]]-Таблица1[[#This Row],[Новая цена]])/Таблица1[[#This Row],[Старая цена]],0)</f>
        <v>0.57000231412608682</v>
      </c>
      <c r="G176" s="5">
        <f>Таблица1[[#This Row],[Старая цена]]-Таблица1[[#This Row],[Новая цена]]</f>
        <v>17242</v>
      </c>
      <c r="H176">
        <v>123</v>
      </c>
    </row>
    <row r="177" spans="1:8" x14ac:dyDescent="0.25">
      <c r="B177" t="s">
        <v>45</v>
      </c>
      <c r="C177" s="2">
        <v>1572</v>
      </c>
      <c r="D177" s="2">
        <v>2419</v>
      </c>
      <c r="E177" s="4" t="s">
        <v>7</v>
      </c>
      <c r="F177" s="3">
        <f>IFERROR((Таблица1[[#This Row],[Старая цена]]-Таблица1[[#This Row],[Новая цена]])/Таблица1[[#This Row],[Старая цена]],0)</f>
        <v>0.35014468788755682</v>
      </c>
      <c r="G177" s="5">
        <f>Таблица1[[#This Row],[Старая цена]]-Таблица1[[#This Row],[Новая цена]]</f>
        <v>847</v>
      </c>
      <c r="H177">
        <v>8</v>
      </c>
    </row>
    <row r="178" spans="1:8" x14ac:dyDescent="0.25">
      <c r="A178" t="s">
        <v>99</v>
      </c>
      <c r="B178" t="s">
        <v>98</v>
      </c>
      <c r="C178" s="2">
        <v>1125</v>
      </c>
      <c r="D178" s="2">
        <v>2500</v>
      </c>
      <c r="E178" s="4" t="s">
        <v>7</v>
      </c>
      <c r="F178" s="3">
        <f>IFERROR((Таблица1[[#This Row],[Старая цена]]-Таблица1[[#This Row],[Новая цена]])/Таблица1[[#This Row],[Старая цена]],0)</f>
        <v>0.55000000000000004</v>
      </c>
      <c r="G178" s="5">
        <f>Таблица1[[#This Row],[Старая цена]]-Таблица1[[#This Row],[Новая цена]]</f>
        <v>1375</v>
      </c>
      <c r="H178">
        <v>10</v>
      </c>
    </row>
    <row r="179" spans="1:8" x14ac:dyDescent="0.25">
      <c r="A179" t="s">
        <v>176</v>
      </c>
      <c r="B179" t="s">
        <v>175</v>
      </c>
      <c r="C179" s="2">
        <v>1650</v>
      </c>
      <c r="D179" s="2">
        <v>2500</v>
      </c>
      <c r="E179" s="4" t="s">
        <v>7</v>
      </c>
      <c r="F179" s="3">
        <f>IFERROR((Таблица1[[#This Row],[Старая цена]]-Таблица1[[#This Row],[Новая цена]])/Таблица1[[#This Row],[Старая цена]],0)</f>
        <v>0.34</v>
      </c>
      <c r="G179" s="5">
        <f>Таблица1[[#This Row],[Старая цена]]-Таблица1[[#This Row],[Новая цена]]</f>
        <v>850</v>
      </c>
      <c r="H179">
        <v>7</v>
      </c>
    </row>
    <row r="180" spans="1:8" x14ac:dyDescent="0.25">
      <c r="A180" t="s">
        <v>60</v>
      </c>
      <c r="B180" t="s">
        <v>59</v>
      </c>
      <c r="C180" s="2">
        <v>3552</v>
      </c>
      <c r="D180" s="2">
        <v>14800</v>
      </c>
      <c r="E180" s="4" t="s">
        <v>7</v>
      </c>
      <c r="F180" s="3">
        <f>IFERROR((Таблица1[[#This Row],[Старая цена]]-Таблица1[[#This Row],[Новая цена]])/Таблица1[[#This Row],[Старая цена]],0)</f>
        <v>0.76</v>
      </c>
      <c r="G180" s="5">
        <f>Таблица1[[#This Row],[Старая цена]]-Таблица1[[#This Row],[Новая цена]]</f>
        <v>11248</v>
      </c>
      <c r="H180">
        <v>397</v>
      </c>
    </row>
    <row r="181" spans="1:8" x14ac:dyDescent="0.25">
      <c r="A181" t="s">
        <v>97</v>
      </c>
      <c r="B181" t="s">
        <v>96</v>
      </c>
      <c r="C181" s="2">
        <v>510</v>
      </c>
      <c r="D181" s="2">
        <v>3000</v>
      </c>
      <c r="E181" s="4" t="s">
        <v>7</v>
      </c>
      <c r="F181" s="3">
        <f>IFERROR((Таблица1[[#This Row],[Старая цена]]-Таблица1[[#This Row],[Новая цена]])/Таблица1[[#This Row],[Старая цена]],0)</f>
        <v>0.83</v>
      </c>
      <c r="G181" s="5">
        <f>Таблица1[[#This Row],[Старая цена]]-Таблица1[[#This Row],[Новая цена]]</f>
        <v>2490</v>
      </c>
      <c r="H181">
        <v>94</v>
      </c>
    </row>
    <row r="182" spans="1:8" x14ac:dyDescent="0.25">
      <c r="A182" t="s">
        <v>30</v>
      </c>
      <c r="B182" t="s">
        <v>29</v>
      </c>
      <c r="C182" s="2">
        <v>1340</v>
      </c>
      <c r="D182" s="2">
        <v>2735</v>
      </c>
      <c r="E182" s="4" t="s">
        <v>7</v>
      </c>
      <c r="F182" s="3">
        <f>IFERROR((Таблица1[[#This Row],[Старая цена]]-Таблица1[[#This Row],[Новая цена]])/Таблица1[[#This Row],[Старая цена]],0)</f>
        <v>0.51005484460694694</v>
      </c>
      <c r="G182" s="5">
        <f>Таблица1[[#This Row],[Старая цена]]-Таблица1[[#This Row],[Новая цена]]</f>
        <v>1395</v>
      </c>
      <c r="H182">
        <v>56</v>
      </c>
    </row>
    <row r="183" spans="1:8" x14ac:dyDescent="0.25">
      <c r="A183" t="s">
        <v>86</v>
      </c>
      <c r="B183" t="s">
        <v>85</v>
      </c>
      <c r="C183" s="2">
        <v>2070</v>
      </c>
      <c r="D183" s="2">
        <v>6900</v>
      </c>
      <c r="E183" s="4" t="s">
        <v>7</v>
      </c>
      <c r="F183" s="3">
        <f>IFERROR((Таблица1[[#This Row],[Старая цена]]-Таблица1[[#This Row],[Новая цена]])/Таблица1[[#This Row],[Старая цена]],0)</f>
        <v>0.7</v>
      </c>
      <c r="G183" s="5">
        <f>Таблица1[[#This Row],[Старая цена]]-Таблица1[[#This Row],[Новая цена]]</f>
        <v>4830</v>
      </c>
      <c r="H183">
        <v>3</v>
      </c>
    </row>
    <row r="184" spans="1:8" x14ac:dyDescent="0.25">
      <c r="A184" t="s">
        <v>171</v>
      </c>
      <c r="B184" t="s">
        <v>177</v>
      </c>
      <c r="C184" s="2">
        <v>1272</v>
      </c>
      <c r="D184" s="2">
        <v>5783</v>
      </c>
      <c r="E184" s="4" t="s">
        <v>7</v>
      </c>
      <c r="F184" s="3">
        <f>IFERROR((Таблица1[[#This Row],[Старая цена]]-Таблица1[[#This Row],[Новая цена]])/Таблица1[[#This Row],[Старая цена]],0)</f>
        <v>0.78004495936365204</v>
      </c>
      <c r="G184" s="5">
        <f>Таблица1[[#This Row],[Старая цена]]-Таблица1[[#This Row],[Новая цена]]</f>
        <v>4511</v>
      </c>
      <c r="H184">
        <v>164</v>
      </c>
    </row>
    <row r="185" spans="1:8" x14ac:dyDescent="0.25">
      <c r="A185" t="s">
        <v>179</v>
      </c>
      <c r="B185" t="s">
        <v>178</v>
      </c>
      <c r="C185" s="2">
        <v>1332</v>
      </c>
      <c r="D185" s="2">
        <v>3600</v>
      </c>
      <c r="E185" s="4" t="s">
        <v>7</v>
      </c>
      <c r="F185" s="3">
        <f>IFERROR((Таблица1[[#This Row],[Старая цена]]-Таблица1[[#This Row],[Новая цена]])/Таблица1[[#This Row],[Старая цена]],0)</f>
        <v>0.63</v>
      </c>
      <c r="G185" s="5">
        <f>Таблица1[[#This Row],[Старая цена]]-Таблица1[[#This Row],[Новая цена]]</f>
        <v>2268</v>
      </c>
      <c r="H185">
        <v>40</v>
      </c>
    </row>
    <row r="186" spans="1:8" x14ac:dyDescent="0.25">
      <c r="A186" t="s">
        <v>69</v>
      </c>
      <c r="B186" t="s">
        <v>180</v>
      </c>
      <c r="C186" s="2">
        <v>1475</v>
      </c>
      <c r="D186" s="2">
        <v>2500</v>
      </c>
      <c r="E186" s="4" t="s">
        <v>7</v>
      </c>
      <c r="F186" s="3">
        <f>IFERROR((Таблица1[[#This Row],[Старая цена]]-Таблица1[[#This Row],[Новая цена]])/Таблица1[[#This Row],[Старая цена]],0)</f>
        <v>0.41</v>
      </c>
      <c r="G186" s="5">
        <f>Таблица1[[#This Row],[Старая цена]]-Таблица1[[#This Row],[Новая цена]]</f>
        <v>1025</v>
      </c>
      <c r="H186">
        <v>47</v>
      </c>
    </row>
    <row r="187" spans="1:8" x14ac:dyDescent="0.25">
      <c r="A187" t="s">
        <v>104</v>
      </c>
      <c r="B187" t="s">
        <v>103</v>
      </c>
      <c r="C187" s="2">
        <v>873</v>
      </c>
      <c r="D187" s="2">
        <v>8730</v>
      </c>
      <c r="E187" s="4" t="s">
        <v>7</v>
      </c>
      <c r="F187" s="3">
        <f>IFERROR((Таблица1[[#This Row],[Старая цена]]-Таблица1[[#This Row],[Новая цена]])/Таблица1[[#This Row],[Старая цена]],0)</f>
        <v>0.9</v>
      </c>
      <c r="G187" s="5">
        <f>Таблица1[[#This Row],[Старая цена]]-Таблица1[[#This Row],[Новая цена]]</f>
        <v>7857</v>
      </c>
      <c r="H187">
        <v>432</v>
      </c>
    </row>
    <row r="188" spans="1:8" x14ac:dyDescent="0.25">
      <c r="A188" t="s">
        <v>99</v>
      </c>
      <c r="B188" t="s">
        <v>181</v>
      </c>
      <c r="C188" s="2">
        <v>1125</v>
      </c>
      <c r="D188" s="2">
        <v>2500</v>
      </c>
      <c r="E188" s="4" t="s">
        <v>7</v>
      </c>
      <c r="F188" s="3">
        <f>IFERROR((Таблица1[[#This Row],[Старая цена]]-Таблица1[[#This Row],[Новая цена]])/Таблица1[[#This Row],[Старая цена]],0)</f>
        <v>0.55000000000000004</v>
      </c>
      <c r="G188" s="5">
        <f>Таблица1[[#This Row],[Старая цена]]-Таблица1[[#This Row],[Новая цена]]</f>
        <v>1375</v>
      </c>
      <c r="H188">
        <v>8</v>
      </c>
    </row>
    <row r="189" spans="1:8" x14ac:dyDescent="0.25">
      <c r="A189" t="s">
        <v>7</v>
      </c>
      <c r="B189" t="s">
        <v>58</v>
      </c>
      <c r="C189" s="2">
        <v>1661</v>
      </c>
      <c r="D189" s="2">
        <v>4490</v>
      </c>
      <c r="E189" s="4" t="s">
        <v>7</v>
      </c>
      <c r="F189" s="3">
        <f>IFERROR((Таблица1[[#This Row],[Старая цена]]-Таблица1[[#This Row],[Новая цена]])/Таблица1[[#This Row],[Старая цена]],0)</f>
        <v>0.63006681514476615</v>
      </c>
      <c r="G189" s="5">
        <f>Таблица1[[#This Row],[Старая цена]]-Таблица1[[#This Row],[Новая цена]]</f>
        <v>2829</v>
      </c>
      <c r="H189">
        <v>139</v>
      </c>
    </row>
    <row r="190" spans="1:8" x14ac:dyDescent="0.25">
      <c r="A190" t="s">
        <v>112</v>
      </c>
      <c r="B190" t="s">
        <v>111</v>
      </c>
      <c r="C190" s="2">
        <v>3760</v>
      </c>
      <c r="D190" s="2">
        <v>8000</v>
      </c>
      <c r="E190" s="4" t="s">
        <v>7</v>
      </c>
      <c r="F190" s="3">
        <f>IFERROR((Таблица1[[#This Row],[Старая цена]]-Таблица1[[#This Row],[Новая цена]])/Таблица1[[#This Row],[Старая цена]],0)</f>
        <v>0.53</v>
      </c>
      <c r="G190" s="5">
        <f>Таблица1[[#This Row],[Старая цена]]-Таблица1[[#This Row],[Новая цена]]</f>
        <v>4240</v>
      </c>
      <c r="H190">
        <v>7</v>
      </c>
    </row>
    <row r="191" spans="1:8" x14ac:dyDescent="0.25">
      <c r="A191" t="s">
        <v>104</v>
      </c>
      <c r="B191" t="s">
        <v>103</v>
      </c>
      <c r="C191" s="2">
        <v>1099</v>
      </c>
      <c r="D191" s="2">
        <v>10990</v>
      </c>
      <c r="E191" s="4" t="s">
        <v>7</v>
      </c>
      <c r="F191" s="3">
        <f>IFERROR((Таблица1[[#This Row],[Старая цена]]-Таблица1[[#This Row],[Новая цена]])/Таблица1[[#This Row],[Старая цена]],0)</f>
        <v>0.9</v>
      </c>
      <c r="G191" s="5">
        <f>Таблица1[[#This Row],[Старая цена]]-Таблица1[[#This Row],[Новая цена]]</f>
        <v>9891</v>
      </c>
      <c r="H191">
        <v>432</v>
      </c>
    </row>
    <row r="192" spans="1:8" x14ac:dyDescent="0.25">
      <c r="A192" t="s">
        <v>27</v>
      </c>
      <c r="B192" t="s">
        <v>26</v>
      </c>
      <c r="C192" s="2">
        <v>3505</v>
      </c>
      <c r="D192" s="2">
        <v>9473</v>
      </c>
      <c r="E192" s="4" t="s">
        <v>7</v>
      </c>
      <c r="F192" s="3">
        <f>IFERROR((Таблица1[[#This Row],[Старая цена]]-Таблица1[[#This Row],[Новая цена]])/Таблица1[[#This Row],[Старая цена]],0)</f>
        <v>0.63000105563179565</v>
      </c>
      <c r="G192" s="5">
        <f>Таблица1[[#This Row],[Старая цена]]-Таблица1[[#This Row],[Новая цена]]</f>
        <v>5968</v>
      </c>
      <c r="H192">
        <v>1416</v>
      </c>
    </row>
    <row r="193" spans="1:8" x14ac:dyDescent="0.25">
      <c r="A193" t="s">
        <v>183</v>
      </c>
      <c r="B193" t="s">
        <v>182</v>
      </c>
      <c r="C193" s="2">
        <v>1278</v>
      </c>
      <c r="D193" s="2">
        <v>25560</v>
      </c>
      <c r="E193" s="4" t="s">
        <v>7</v>
      </c>
      <c r="F193" s="3">
        <f>IFERROR((Таблица1[[#This Row],[Старая цена]]-Таблица1[[#This Row],[Новая цена]])/Таблица1[[#This Row],[Старая цена]],0)</f>
        <v>0.95</v>
      </c>
      <c r="G193" s="5">
        <f>Таблица1[[#This Row],[Старая цена]]-Таблица1[[#This Row],[Новая цена]]</f>
        <v>24282</v>
      </c>
      <c r="H193">
        <v>6</v>
      </c>
    </row>
    <row r="194" spans="1:8" x14ac:dyDescent="0.25">
      <c r="A194" t="s">
        <v>60</v>
      </c>
      <c r="B194" t="s">
        <v>59</v>
      </c>
      <c r="C194" s="2">
        <v>2172</v>
      </c>
      <c r="D194" s="2">
        <v>9876</v>
      </c>
      <c r="E194" s="4" t="s">
        <v>7</v>
      </c>
      <c r="F194" s="3">
        <f>IFERROR((Таблица1[[#This Row],[Старая цена]]-Таблица1[[#This Row],[Новая цена]])/Таблица1[[#This Row],[Старая цена]],0)</f>
        <v>0.78007290400972051</v>
      </c>
      <c r="G194" s="5">
        <f>Таблица1[[#This Row],[Старая цена]]-Таблица1[[#This Row],[Новая цена]]</f>
        <v>7704</v>
      </c>
      <c r="H194">
        <v>397</v>
      </c>
    </row>
    <row r="195" spans="1:8" x14ac:dyDescent="0.25">
      <c r="A195" t="s">
        <v>119</v>
      </c>
      <c r="B195" t="s">
        <v>118</v>
      </c>
      <c r="C195" s="2">
        <v>1719</v>
      </c>
      <c r="D195" s="2">
        <v>3999</v>
      </c>
      <c r="E195" s="4" t="s">
        <v>7</v>
      </c>
      <c r="F195" s="3">
        <f>IFERROR((Таблица1[[#This Row],[Старая цена]]-Таблица1[[#This Row],[Новая цена]])/Таблица1[[#This Row],[Старая цена]],0)</f>
        <v>0.57014253563390849</v>
      </c>
      <c r="G195" s="5">
        <f>Таблица1[[#This Row],[Старая цена]]-Таблица1[[#This Row],[Новая цена]]</f>
        <v>2280</v>
      </c>
      <c r="H195">
        <v>15</v>
      </c>
    </row>
    <row r="196" spans="1:8" x14ac:dyDescent="0.25">
      <c r="A196" t="s">
        <v>185</v>
      </c>
      <c r="B196" t="s">
        <v>184</v>
      </c>
      <c r="C196" s="2">
        <v>1650</v>
      </c>
      <c r="D196" s="2">
        <v>6600</v>
      </c>
      <c r="E196" s="4" t="s">
        <v>7</v>
      </c>
      <c r="F196" s="3">
        <f>IFERROR((Таблица1[[#This Row],[Старая цена]]-Таблица1[[#This Row],[Новая цена]])/Таблица1[[#This Row],[Старая цена]],0)</f>
        <v>0.75</v>
      </c>
      <c r="G196" s="5">
        <f>Таблица1[[#This Row],[Старая цена]]-Таблица1[[#This Row],[Новая цена]]</f>
        <v>4950</v>
      </c>
      <c r="H196">
        <v>41</v>
      </c>
    </row>
    <row r="197" spans="1:8" x14ac:dyDescent="0.25">
      <c r="A197" t="s">
        <v>114</v>
      </c>
      <c r="B197" t="s">
        <v>186</v>
      </c>
      <c r="C197" s="2">
        <v>3555</v>
      </c>
      <c r="D197" s="2">
        <v>7900</v>
      </c>
      <c r="E197" s="4" t="s">
        <v>7</v>
      </c>
      <c r="F197" s="3">
        <f>IFERROR((Таблица1[[#This Row],[Старая цена]]-Таблица1[[#This Row],[Новая цена]])/Таблица1[[#This Row],[Старая цена]],0)</f>
        <v>0.55000000000000004</v>
      </c>
      <c r="G197" s="5">
        <f>Таблица1[[#This Row],[Старая цена]]-Таблица1[[#This Row],[Новая цена]]</f>
        <v>4345</v>
      </c>
      <c r="H197">
        <v>6</v>
      </c>
    </row>
    <row r="198" spans="1:8" x14ac:dyDescent="0.25">
      <c r="A198" t="s">
        <v>21</v>
      </c>
      <c r="B198" t="s">
        <v>187</v>
      </c>
      <c r="C198" s="2">
        <v>1581</v>
      </c>
      <c r="D198" s="2">
        <v>3100</v>
      </c>
      <c r="E198" s="4" t="s">
        <v>7</v>
      </c>
      <c r="F198" s="3">
        <f>IFERROR((Таблица1[[#This Row],[Старая цена]]-Таблица1[[#This Row],[Новая цена]])/Таблица1[[#This Row],[Старая цена]],0)</f>
        <v>0.49</v>
      </c>
      <c r="G198" s="5">
        <f>Таблица1[[#This Row],[Старая цена]]-Таблица1[[#This Row],[Новая цена]]</f>
        <v>1519</v>
      </c>
      <c r="H198">
        <v>2356</v>
      </c>
    </row>
    <row r="199" spans="1:8" x14ac:dyDescent="0.25">
      <c r="A199" t="s">
        <v>91</v>
      </c>
      <c r="B199" t="s">
        <v>90</v>
      </c>
      <c r="C199" s="2">
        <v>7536</v>
      </c>
      <c r="D199" s="2">
        <v>15700</v>
      </c>
      <c r="E199" s="4" t="s">
        <v>7</v>
      </c>
      <c r="F199" s="3">
        <f>IFERROR((Таблица1[[#This Row],[Старая цена]]-Таблица1[[#This Row],[Новая цена]])/Таблица1[[#This Row],[Старая цена]],0)</f>
        <v>0.52</v>
      </c>
      <c r="G199" s="5">
        <f>Таблица1[[#This Row],[Старая цена]]-Таблица1[[#This Row],[Новая цена]]</f>
        <v>8164</v>
      </c>
      <c r="H199">
        <v>27</v>
      </c>
    </row>
    <row r="200" spans="1:8" x14ac:dyDescent="0.25">
      <c r="A200" t="s">
        <v>25</v>
      </c>
      <c r="B200" t="s">
        <v>35</v>
      </c>
      <c r="C200" s="2">
        <v>1737</v>
      </c>
      <c r="D200" s="2">
        <v>5990</v>
      </c>
      <c r="E200" s="4" t="s">
        <v>7</v>
      </c>
      <c r="F200" s="3">
        <f>IFERROR((Таблица1[[#This Row],[Старая цена]]-Таблица1[[#This Row],[Новая цена]])/Таблица1[[#This Row],[Старая цена]],0)</f>
        <v>0.71001669449081806</v>
      </c>
      <c r="G200" s="5">
        <f>Таблица1[[#This Row],[Старая цена]]-Таблица1[[#This Row],[Новая цена]]</f>
        <v>4253</v>
      </c>
      <c r="H200">
        <v>5</v>
      </c>
    </row>
    <row r="201" spans="1:8" x14ac:dyDescent="0.25">
      <c r="A201" t="s">
        <v>84</v>
      </c>
      <c r="B201" t="s">
        <v>188</v>
      </c>
      <c r="C201" s="2">
        <v>10499</v>
      </c>
      <c r="D201" s="2">
        <v>14999</v>
      </c>
      <c r="E201" s="4" t="s">
        <v>7</v>
      </c>
      <c r="F201" s="3">
        <f>IFERROR((Таблица1[[#This Row],[Старая цена]]-Таблица1[[#This Row],[Новая цена]])/Таблица1[[#This Row],[Старая цена]],0)</f>
        <v>0.30002000133342221</v>
      </c>
      <c r="G201" s="5">
        <f>Таблица1[[#This Row],[Старая цена]]-Таблица1[[#This Row],[Новая цена]]</f>
        <v>4500</v>
      </c>
      <c r="H201">
        <v>1</v>
      </c>
    </row>
    <row r="202" spans="1:8" x14ac:dyDescent="0.25">
      <c r="A202" t="s">
        <v>137</v>
      </c>
      <c r="B202" t="s">
        <v>136</v>
      </c>
      <c r="C202" s="2">
        <v>1616</v>
      </c>
      <c r="D202" s="2">
        <v>10100</v>
      </c>
      <c r="E202" s="4" t="s">
        <v>7</v>
      </c>
      <c r="F202" s="3">
        <f>IFERROR((Таблица1[[#This Row],[Старая цена]]-Таблица1[[#This Row],[Новая цена]])/Таблица1[[#This Row],[Старая цена]],0)</f>
        <v>0.84</v>
      </c>
      <c r="G202" s="5">
        <f>Таблица1[[#This Row],[Старая цена]]-Таблица1[[#This Row],[Новая цена]]</f>
        <v>8484</v>
      </c>
      <c r="H202">
        <v>349</v>
      </c>
    </row>
    <row r="203" spans="1:8" x14ac:dyDescent="0.25">
      <c r="A203" t="s">
        <v>27</v>
      </c>
      <c r="B203" t="s">
        <v>26</v>
      </c>
      <c r="C203" s="2">
        <v>3505</v>
      </c>
      <c r="D203" s="2">
        <v>9473</v>
      </c>
      <c r="E203" s="4" t="s">
        <v>7</v>
      </c>
      <c r="F203" s="3">
        <f>IFERROR((Таблица1[[#This Row],[Старая цена]]-Таблица1[[#This Row],[Новая цена]])/Таблица1[[#This Row],[Старая цена]],0)</f>
        <v>0.63000105563179565</v>
      </c>
      <c r="G203" s="5">
        <f>Таблица1[[#This Row],[Старая цена]]-Таблица1[[#This Row],[Новая цена]]</f>
        <v>5968</v>
      </c>
      <c r="H203">
        <v>1416</v>
      </c>
    </row>
    <row r="204" spans="1:8" x14ac:dyDescent="0.25">
      <c r="A204" t="s">
        <v>189</v>
      </c>
      <c r="B204" t="s">
        <v>36</v>
      </c>
      <c r="C204" s="2">
        <v>1799</v>
      </c>
      <c r="D204" s="2">
        <v>35988</v>
      </c>
      <c r="E204" s="4" t="s">
        <v>7</v>
      </c>
      <c r="F204" s="3">
        <f>IFERROR((Таблица1[[#This Row],[Старая цена]]-Таблица1[[#This Row],[Новая цена]])/Таблица1[[#This Row],[Старая цена]],0)</f>
        <v>0.95001111481604983</v>
      </c>
      <c r="G204" s="5">
        <f>Таблица1[[#This Row],[Старая цена]]-Таблица1[[#This Row],[Новая цена]]</f>
        <v>34189</v>
      </c>
      <c r="H204">
        <v>137</v>
      </c>
    </row>
    <row r="205" spans="1:8" x14ac:dyDescent="0.25">
      <c r="A205" t="s">
        <v>160</v>
      </c>
      <c r="B205" t="s">
        <v>40</v>
      </c>
      <c r="C205" s="2">
        <v>780</v>
      </c>
      <c r="D205" s="2">
        <v>3000</v>
      </c>
      <c r="E205" s="4" t="s">
        <v>7</v>
      </c>
      <c r="F205" s="3">
        <f>IFERROR((Таблица1[[#This Row],[Старая цена]]-Таблица1[[#This Row],[Новая цена]])/Таблица1[[#This Row],[Старая цена]],0)</f>
        <v>0.74</v>
      </c>
      <c r="G205" s="5">
        <f>Таблица1[[#This Row],[Старая цена]]-Таблица1[[#This Row],[Новая цена]]</f>
        <v>2220</v>
      </c>
      <c r="H205">
        <v>73</v>
      </c>
    </row>
    <row r="206" spans="1:8" x14ac:dyDescent="0.25">
      <c r="A206" t="s">
        <v>192</v>
      </c>
      <c r="B206" t="s">
        <v>191</v>
      </c>
      <c r="C206" s="2">
        <v>907</v>
      </c>
      <c r="D206" s="2">
        <v>2214</v>
      </c>
      <c r="E206" s="4" t="s">
        <v>190</v>
      </c>
      <c r="F206" s="3">
        <f>IFERROR((Таблица1[[#This Row],[Старая цена]]-Таблица1[[#This Row],[Новая цена]])/Таблица1[[#This Row],[Старая цена]],0)</f>
        <v>0.59033423667570006</v>
      </c>
      <c r="G206" s="5">
        <f>Таблица1[[#This Row],[Старая цена]]-Таблица1[[#This Row],[Новая цена]]</f>
        <v>1307</v>
      </c>
      <c r="H206">
        <v>6</v>
      </c>
    </row>
    <row r="207" spans="1:8" x14ac:dyDescent="0.25">
      <c r="A207" t="s">
        <v>194</v>
      </c>
      <c r="B207" t="s">
        <v>193</v>
      </c>
      <c r="C207" s="2">
        <v>11440</v>
      </c>
      <c r="D207" s="2">
        <v>26000</v>
      </c>
      <c r="E207" s="4" t="s">
        <v>190</v>
      </c>
      <c r="F207" s="3">
        <f>IFERROR((Таблица1[[#This Row],[Старая цена]]-Таблица1[[#This Row],[Новая цена]])/Таблица1[[#This Row],[Старая цена]],0)</f>
        <v>0.56000000000000005</v>
      </c>
      <c r="G207" s="5">
        <f>Таблица1[[#This Row],[Старая цена]]-Таблица1[[#This Row],[Новая цена]]</f>
        <v>14560</v>
      </c>
      <c r="H207">
        <v>9</v>
      </c>
    </row>
    <row r="208" spans="1:8" x14ac:dyDescent="0.25">
      <c r="A208" t="s">
        <v>196</v>
      </c>
      <c r="B208" t="s">
        <v>195</v>
      </c>
      <c r="C208" s="2">
        <v>1290</v>
      </c>
      <c r="D208" s="2">
        <v>4300</v>
      </c>
      <c r="E208" s="4" t="s">
        <v>190</v>
      </c>
      <c r="F208" s="3">
        <f>IFERROR((Таблица1[[#This Row],[Старая цена]]-Таблица1[[#This Row],[Новая цена]])/Таблица1[[#This Row],[Старая цена]],0)</f>
        <v>0.7</v>
      </c>
      <c r="G208" s="5">
        <f>Таблица1[[#This Row],[Старая цена]]-Таблица1[[#This Row],[Новая цена]]</f>
        <v>3010</v>
      </c>
      <c r="H208">
        <v>126</v>
      </c>
    </row>
    <row r="209" spans="1:8" x14ac:dyDescent="0.25">
      <c r="A209" t="s">
        <v>197</v>
      </c>
      <c r="B209" t="s">
        <v>191</v>
      </c>
      <c r="C209" s="2">
        <v>1693</v>
      </c>
      <c r="D209" s="2">
        <v>4233</v>
      </c>
      <c r="E209" s="4" t="s">
        <v>190</v>
      </c>
      <c r="F209" s="3">
        <f>IFERROR((Таблица1[[#This Row],[Старая цена]]-Таблица1[[#This Row],[Новая цена]])/Таблица1[[#This Row],[Старая цена]],0)</f>
        <v>0.60004724781478858</v>
      </c>
      <c r="G209" s="5">
        <f>Таблица1[[#This Row],[Старая цена]]-Таблица1[[#This Row],[Новая цена]]</f>
        <v>2540</v>
      </c>
      <c r="H209">
        <v>115</v>
      </c>
    </row>
    <row r="210" spans="1:8" x14ac:dyDescent="0.25">
      <c r="A210" t="s">
        <v>198</v>
      </c>
      <c r="B210" t="s">
        <v>191</v>
      </c>
      <c r="C210" s="2">
        <v>1268</v>
      </c>
      <c r="D210" s="2">
        <v>5073</v>
      </c>
      <c r="E210" s="4" t="s">
        <v>190</v>
      </c>
      <c r="F210" s="3">
        <f>IFERROR((Таблица1[[#This Row],[Старая цена]]-Таблица1[[#This Row],[Новая цена]])/Таблица1[[#This Row],[Старая цена]],0)</f>
        <v>0.75004928050463238</v>
      </c>
      <c r="G210" s="5">
        <f>Таблица1[[#This Row],[Старая цена]]-Таблица1[[#This Row],[Новая цена]]</f>
        <v>3805</v>
      </c>
      <c r="H210">
        <v>33</v>
      </c>
    </row>
    <row r="211" spans="1:8" x14ac:dyDescent="0.25">
      <c r="A211" t="s">
        <v>199</v>
      </c>
      <c r="B211" t="s">
        <v>191</v>
      </c>
      <c r="C211" s="2">
        <v>816</v>
      </c>
      <c r="D211" s="2">
        <v>2400</v>
      </c>
      <c r="E211" s="4" t="s">
        <v>190</v>
      </c>
      <c r="F211" s="3">
        <f>IFERROR((Таблица1[[#This Row],[Старая цена]]-Таблица1[[#This Row],[Новая цена]])/Таблица1[[#This Row],[Старая цена]],0)</f>
        <v>0.66</v>
      </c>
      <c r="G211" s="5">
        <f>Таблица1[[#This Row],[Старая цена]]-Таблица1[[#This Row],[Новая цена]]</f>
        <v>1584</v>
      </c>
      <c r="H211">
        <v>46</v>
      </c>
    </row>
    <row r="212" spans="1:8" x14ac:dyDescent="0.25">
      <c r="A212" t="s">
        <v>201</v>
      </c>
      <c r="B212" t="s">
        <v>200</v>
      </c>
      <c r="C212" s="2">
        <v>539</v>
      </c>
      <c r="D212" s="2">
        <v>739</v>
      </c>
      <c r="E212" s="4" t="s">
        <v>190</v>
      </c>
      <c r="F212" s="3">
        <f>IFERROR((Таблица1[[#This Row],[Старая цена]]-Таблица1[[#This Row],[Новая цена]])/Таблица1[[#This Row],[Старая цена]],0)</f>
        <v>0.2706359945872801</v>
      </c>
      <c r="G212" s="5">
        <f>Таблица1[[#This Row],[Старая цена]]-Таблица1[[#This Row],[Новая цена]]</f>
        <v>200</v>
      </c>
      <c r="H212">
        <v>158</v>
      </c>
    </row>
    <row r="213" spans="1:8" x14ac:dyDescent="0.25">
      <c r="A213" t="s">
        <v>202</v>
      </c>
      <c r="B213" t="s">
        <v>191</v>
      </c>
      <c r="C213" s="2">
        <v>3082</v>
      </c>
      <c r="D213" s="2">
        <v>5315</v>
      </c>
      <c r="E213" s="4" t="s">
        <v>190</v>
      </c>
      <c r="F213" s="3">
        <f>IFERROR((Таблица1[[#This Row],[Старая цена]]-Таблица1[[#This Row],[Новая цена]])/Таблица1[[#This Row],[Старая цена]],0)</f>
        <v>0.42013170272812794</v>
      </c>
      <c r="G213" s="5">
        <f>Таблица1[[#This Row],[Старая цена]]-Таблица1[[#This Row],[Новая цена]]</f>
        <v>2233</v>
      </c>
      <c r="H213">
        <v>4</v>
      </c>
    </row>
    <row r="214" spans="1:8" x14ac:dyDescent="0.25">
      <c r="A214" t="s">
        <v>201</v>
      </c>
      <c r="B214" t="s">
        <v>200</v>
      </c>
      <c r="C214" s="2">
        <v>189</v>
      </c>
      <c r="D214" s="2">
        <v>259</v>
      </c>
      <c r="E214" s="4" t="s">
        <v>190</v>
      </c>
      <c r="F214" s="3">
        <f>IFERROR((Таблица1[[#This Row],[Старая цена]]-Таблица1[[#This Row],[Новая цена]])/Таблица1[[#This Row],[Старая цена]],0)</f>
        <v>0.27027027027027029</v>
      </c>
      <c r="G214" s="5">
        <f>Таблица1[[#This Row],[Старая цена]]-Таблица1[[#This Row],[Новая цена]]</f>
        <v>70</v>
      </c>
      <c r="H214">
        <v>158</v>
      </c>
    </row>
    <row r="215" spans="1:8" x14ac:dyDescent="0.25">
      <c r="A215" t="s">
        <v>204</v>
      </c>
      <c r="B215" t="s">
        <v>203</v>
      </c>
      <c r="C215" s="2">
        <v>5740</v>
      </c>
      <c r="D215" s="2">
        <v>14000</v>
      </c>
      <c r="E215" s="4" t="s">
        <v>190</v>
      </c>
      <c r="F215" s="3">
        <f>IFERROR((Таблица1[[#This Row],[Старая цена]]-Таблица1[[#This Row],[Новая цена]])/Таблица1[[#This Row],[Старая цена]],0)</f>
        <v>0.59</v>
      </c>
      <c r="G215" s="5">
        <f>Таблица1[[#This Row],[Старая цена]]-Таблица1[[#This Row],[Новая цена]]</f>
        <v>8260</v>
      </c>
      <c r="H215">
        <v>8</v>
      </c>
    </row>
    <row r="216" spans="1:8" x14ac:dyDescent="0.25">
      <c r="A216" t="s">
        <v>206</v>
      </c>
      <c r="B216" t="s">
        <v>205</v>
      </c>
      <c r="C216" s="2">
        <v>350</v>
      </c>
      <c r="D216" s="2">
        <v>875</v>
      </c>
      <c r="E216" s="4" t="s">
        <v>190</v>
      </c>
      <c r="F216" s="3">
        <f>IFERROR((Таблица1[[#This Row],[Старая цена]]-Таблица1[[#This Row],[Новая цена]])/Таблица1[[#This Row],[Старая цена]],0)</f>
        <v>0.6</v>
      </c>
      <c r="G216" s="5">
        <f>Таблица1[[#This Row],[Старая цена]]-Таблица1[[#This Row],[Новая цена]]</f>
        <v>525</v>
      </c>
      <c r="H216">
        <v>14</v>
      </c>
    </row>
    <row r="217" spans="1:8" x14ac:dyDescent="0.25">
      <c r="A217" t="s">
        <v>208</v>
      </c>
      <c r="B217" t="s">
        <v>207</v>
      </c>
      <c r="C217" s="2">
        <v>1450</v>
      </c>
      <c r="D217" s="2">
        <v>2900</v>
      </c>
      <c r="E217" s="4" t="s">
        <v>190</v>
      </c>
      <c r="F217" s="3">
        <f>IFERROR((Таблица1[[#This Row],[Старая цена]]-Таблица1[[#This Row],[Новая цена]])/Таблица1[[#This Row],[Старая цена]],0)</f>
        <v>0.5</v>
      </c>
      <c r="G217" s="5">
        <f>Таблица1[[#This Row],[Старая цена]]-Таблица1[[#This Row],[Новая цена]]</f>
        <v>1450</v>
      </c>
      <c r="H217">
        <v>3</v>
      </c>
    </row>
    <row r="218" spans="1:8" x14ac:dyDescent="0.25">
      <c r="A218" t="s">
        <v>201</v>
      </c>
      <c r="B218" t="s">
        <v>200</v>
      </c>
      <c r="C218" s="2">
        <v>325</v>
      </c>
      <c r="D218" s="2">
        <v>446</v>
      </c>
      <c r="E218" s="4" t="s">
        <v>190</v>
      </c>
      <c r="F218" s="3">
        <f>IFERROR((Таблица1[[#This Row],[Старая цена]]-Таблица1[[#This Row],[Новая цена]])/Таблица1[[#This Row],[Старая цена]],0)</f>
        <v>0.27130044843049328</v>
      </c>
      <c r="G218" s="5">
        <f>Таблица1[[#This Row],[Старая цена]]-Таблица1[[#This Row],[Новая цена]]</f>
        <v>121</v>
      </c>
      <c r="H218">
        <v>158</v>
      </c>
    </row>
    <row r="219" spans="1:8" x14ac:dyDescent="0.25">
      <c r="A219" t="s">
        <v>210</v>
      </c>
      <c r="B219" t="s">
        <v>209</v>
      </c>
      <c r="C219" s="2">
        <v>261</v>
      </c>
      <c r="D219" s="2">
        <v>1091</v>
      </c>
      <c r="E219" s="4" t="s">
        <v>190</v>
      </c>
      <c r="F219" s="3">
        <f>IFERROR((Таблица1[[#This Row],[Старая цена]]-Таблица1[[#This Row],[Новая цена]])/Таблица1[[#This Row],[Старая цена]],0)</f>
        <v>0.76076993583868013</v>
      </c>
      <c r="G219" s="5">
        <f>Таблица1[[#This Row],[Старая цена]]-Таблица1[[#This Row],[Новая цена]]</f>
        <v>830</v>
      </c>
      <c r="H219">
        <v>2</v>
      </c>
    </row>
    <row r="220" spans="1:8" x14ac:dyDescent="0.25">
      <c r="A220" t="s">
        <v>198</v>
      </c>
      <c r="B220" t="s">
        <v>191</v>
      </c>
      <c r="C220" s="2">
        <v>1268</v>
      </c>
      <c r="D220" s="2">
        <v>5073</v>
      </c>
      <c r="E220" s="4" t="s">
        <v>190</v>
      </c>
      <c r="F220" s="3">
        <f>IFERROR((Таблица1[[#This Row],[Старая цена]]-Таблица1[[#This Row],[Новая цена]])/Таблица1[[#This Row],[Старая цена]],0)</f>
        <v>0.75004928050463238</v>
      </c>
      <c r="G220" s="5">
        <f>Таблица1[[#This Row],[Старая цена]]-Таблица1[[#This Row],[Новая цена]]</f>
        <v>3805</v>
      </c>
      <c r="H220">
        <v>33</v>
      </c>
    </row>
    <row r="221" spans="1:8" x14ac:dyDescent="0.25">
      <c r="A221" t="s">
        <v>212</v>
      </c>
      <c r="B221" t="s">
        <v>211</v>
      </c>
      <c r="C221" s="2">
        <v>6299</v>
      </c>
      <c r="E221" s="4" t="s">
        <v>190</v>
      </c>
      <c r="F221" s="3">
        <f>IFERROR((Таблица1[[#This Row],[Старая цена]]-Таблица1[[#This Row],[Новая цена]])/Таблица1[[#This Row],[Старая цена]],0)</f>
        <v>0</v>
      </c>
      <c r="G221" s="5">
        <f>Таблица1[[#This Row],[Старая цена]]-Таблица1[[#This Row],[Новая цена]]</f>
        <v>-6299</v>
      </c>
      <c r="H221">
        <v>0</v>
      </c>
    </row>
    <row r="222" spans="1:8" x14ac:dyDescent="0.25">
      <c r="A222" t="s">
        <v>214</v>
      </c>
      <c r="B222" t="s">
        <v>213</v>
      </c>
      <c r="C222" s="2">
        <v>989</v>
      </c>
      <c r="D222" s="2">
        <v>1940</v>
      </c>
      <c r="E222" s="4" t="s">
        <v>190</v>
      </c>
      <c r="F222" s="3">
        <f>IFERROR((Таблица1[[#This Row],[Старая цена]]-Таблица1[[#This Row],[Новая цена]])/Таблица1[[#This Row],[Старая цена]],0)</f>
        <v>0.49020618556701029</v>
      </c>
      <c r="G222" s="5">
        <f>Таблица1[[#This Row],[Старая цена]]-Таблица1[[#This Row],[Новая цена]]</f>
        <v>951</v>
      </c>
      <c r="H222">
        <v>54</v>
      </c>
    </row>
    <row r="223" spans="1:8" x14ac:dyDescent="0.25">
      <c r="A223" t="s">
        <v>198</v>
      </c>
      <c r="B223" t="s">
        <v>191</v>
      </c>
      <c r="C223" s="2">
        <v>1268</v>
      </c>
      <c r="D223" s="2">
        <v>5073</v>
      </c>
      <c r="E223" s="4" t="s">
        <v>190</v>
      </c>
      <c r="F223" s="3">
        <f>IFERROR((Таблица1[[#This Row],[Старая цена]]-Таблица1[[#This Row],[Новая цена]])/Таблица1[[#This Row],[Старая цена]],0)</f>
        <v>0.75004928050463238</v>
      </c>
      <c r="G223" s="5">
        <f>Таблица1[[#This Row],[Старая цена]]-Таблица1[[#This Row],[Новая цена]]</f>
        <v>3805</v>
      </c>
      <c r="H223">
        <v>33</v>
      </c>
    </row>
    <row r="224" spans="1:8" x14ac:dyDescent="0.25">
      <c r="A224" t="s">
        <v>216</v>
      </c>
      <c r="B224" t="s">
        <v>215</v>
      </c>
      <c r="C224" s="2">
        <v>9523</v>
      </c>
      <c r="D224" s="2">
        <v>19046</v>
      </c>
      <c r="E224" s="4" t="s">
        <v>190</v>
      </c>
      <c r="F224" s="3">
        <f>IFERROR((Таблица1[[#This Row],[Старая цена]]-Таблица1[[#This Row],[Новая цена]])/Таблица1[[#This Row],[Старая цена]],0)</f>
        <v>0.5</v>
      </c>
      <c r="G224" s="5">
        <f>Таблица1[[#This Row],[Старая цена]]-Таблица1[[#This Row],[Новая цена]]</f>
        <v>9523</v>
      </c>
      <c r="H224">
        <v>2</v>
      </c>
    </row>
    <row r="225" spans="1:8" x14ac:dyDescent="0.25">
      <c r="A225" t="s">
        <v>218</v>
      </c>
      <c r="B225" t="s">
        <v>217</v>
      </c>
      <c r="C225" s="2">
        <v>3064</v>
      </c>
      <c r="D225" s="2">
        <v>7660</v>
      </c>
      <c r="E225" s="4" t="s">
        <v>190</v>
      </c>
      <c r="F225" s="3">
        <f>IFERROR((Таблица1[[#This Row],[Старая цена]]-Таблица1[[#This Row],[Новая цена]])/Таблица1[[#This Row],[Старая цена]],0)</f>
        <v>0.6</v>
      </c>
      <c r="G225" s="5">
        <f>Таблица1[[#This Row],[Старая цена]]-Таблица1[[#This Row],[Новая цена]]</f>
        <v>4596</v>
      </c>
      <c r="H225">
        <v>18</v>
      </c>
    </row>
    <row r="226" spans="1:8" x14ac:dyDescent="0.25">
      <c r="A226" t="s">
        <v>220</v>
      </c>
      <c r="B226" t="s">
        <v>219</v>
      </c>
      <c r="C226" s="2">
        <v>3299</v>
      </c>
      <c r="D226" s="2">
        <v>10999</v>
      </c>
      <c r="E226" s="4" t="s">
        <v>190</v>
      </c>
      <c r="F226" s="3">
        <f>IFERROR((Таблица1[[#This Row],[Старая цена]]-Таблица1[[#This Row],[Новая цена]])/Таблица1[[#This Row],[Старая цена]],0)</f>
        <v>0.70006364214928629</v>
      </c>
      <c r="G226" s="5">
        <f>Таблица1[[#This Row],[Старая цена]]-Таблица1[[#This Row],[Новая цена]]</f>
        <v>7700</v>
      </c>
      <c r="H226">
        <v>3</v>
      </c>
    </row>
    <row r="227" spans="1:8" x14ac:dyDescent="0.25">
      <c r="A227" t="s">
        <v>201</v>
      </c>
      <c r="B227" t="s">
        <v>200</v>
      </c>
      <c r="C227" s="2">
        <v>409</v>
      </c>
      <c r="D227" s="2">
        <v>561</v>
      </c>
      <c r="E227" s="4" t="s">
        <v>190</v>
      </c>
      <c r="F227" s="3">
        <f>IFERROR((Таблица1[[#This Row],[Старая цена]]-Таблица1[[#This Row],[Новая цена]])/Таблица1[[#This Row],[Старая цена]],0)</f>
        <v>0.27094474153297682</v>
      </c>
      <c r="G227" s="5">
        <f>Таблица1[[#This Row],[Старая цена]]-Таблица1[[#This Row],[Новая цена]]</f>
        <v>152</v>
      </c>
      <c r="H227">
        <v>158</v>
      </c>
    </row>
    <row r="228" spans="1:8" x14ac:dyDescent="0.25">
      <c r="A228" t="s">
        <v>222</v>
      </c>
      <c r="B228" t="s">
        <v>221</v>
      </c>
      <c r="C228" s="2">
        <v>2847</v>
      </c>
      <c r="D228" s="2">
        <v>16750</v>
      </c>
      <c r="E228" s="4" t="s">
        <v>190</v>
      </c>
      <c r="F228" s="3">
        <f>IFERROR((Таблица1[[#This Row],[Старая цена]]-Таблица1[[#This Row],[Новая цена]])/Таблица1[[#This Row],[Старая цена]],0)</f>
        <v>0.83002985074626867</v>
      </c>
      <c r="G228" s="5">
        <f>Таблица1[[#This Row],[Старая цена]]-Таблица1[[#This Row],[Новая цена]]</f>
        <v>13903</v>
      </c>
      <c r="H228">
        <v>1</v>
      </c>
    </row>
    <row r="229" spans="1:8" x14ac:dyDescent="0.25">
      <c r="A229" t="s">
        <v>197</v>
      </c>
      <c r="B229" t="s">
        <v>191</v>
      </c>
      <c r="C229" s="2">
        <v>1092</v>
      </c>
      <c r="D229" s="2">
        <v>3766</v>
      </c>
      <c r="E229" s="4" t="s">
        <v>190</v>
      </c>
      <c r="F229" s="3">
        <f>IFERROR((Таблица1[[#This Row],[Старая цена]]-Таблица1[[#This Row],[Новая цена]])/Таблица1[[#This Row],[Старая цена]],0)</f>
        <v>0.71003717472118955</v>
      </c>
      <c r="G229" s="5">
        <f>Таблица1[[#This Row],[Старая цена]]-Таблица1[[#This Row],[Новая цена]]</f>
        <v>2674</v>
      </c>
      <c r="H229">
        <v>115</v>
      </c>
    </row>
    <row r="230" spans="1:8" x14ac:dyDescent="0.25">
      <c r="A230" t="s">
        <v>199</v>
      </c>
      <c r="B230" t="s">
        <v>191</v>
      </c>
      <c r="C230" s="2">
        <v>840</v>
      </c>
      <c r="D230" s="2">
        <v>2000</v>
      </c>
      <c r="E230" s="4" t="s">
        <v>190</v>
      </c>
      <c r="F230" s="3">
        <f>IFERROR((Таблица1[[#This Row],[Старая цена]]-Таблица1[[#This Row],[Новая цена]])/Таблица1[[#This Row],[Старая цена]],0)</f>
        <v>0.57999999999999996</v>
      </c>
      <c r="G230" s="5">
        <f>Таблица1[[#This Row],[Старая цена]]-Таблица1[[#This Row],[Новая цена]]</f>
        <v>1160</v>
      </c>
      <c r="H230">
        <v>46</v>
      </c>
    </row>
    <row r="231" spans="1:8" x14ac:dyDescent="0.25">
      <c r="A231" t="s">
        <v>196</v>
      </c>
      <c r="B231" t="s">
        <v>195</v>
      </c>
      <c r="C231" s="2">
        <v>1299</v>
      </c>
      <c r="D231" s="2">
        <v>2549</v>
      </c>
      <c r="E231" s="4" t="s">
        <v>190</v>
      </c>
      <c r="F231" s="3">
        <f>IFERROR((Таблица1[[#This Row],[Старая цена]]-Таблица1[[#This Row],[Новая цена]])/Таблица1[[#This Row],[Старая цена]],0)</f>
        <v>0.49038838760298153</v>
      </c>
      <c r="G231" s="5">
        <f>Таблица1[[#This Row],[Старая цена]]-Таблица1[[#This Row],[Новая цена]]</f>
        <v>1250</v>
      </c>
      <c r="H231">
        <v>126</v>
      </c>
    </row>
    <row r="232" spans="1:8" x14ac:dyDescent="0.25">
      <c r="A232" t="s">
        <v>194</v>
      </c>
      <c r="B232" t="s">
        <v>223</v>
      </c>
      <c r="C232" s="2">
        <v>9198</v>
      </c>
      <c r="D232" s="2">
        <v>21900</v>
      </c>
      <c r="E232" s="4" t="s">
        <v>190</v>
      </c>
      <c r="F232" s="3">
        <f>IFERROR((Таблица1[[#This Row],[Старая цена]]-Таблица1[[#This Row],[Новая цена]])/Таблица1[[#This Row],[Старая цена]],0)</f>
        <v>0.57999999999999996</v>
      </c>
      <c r="G232" s="5">
        <f>Таблица1[[#This Row],[Старая цена]]-Таблица1[[#This Row],[Новая цена]]</f>
        <v>12702</v>
      </c>
      <c r="H232">
        <v>20</v>
      </c>
    </row>
    <row r="233" spans="1:8" x14ac:dyDescent="0.25">
      <c r="A233" t="s">
        <v>224</v>
      </c>
      <c r="B233" t="s">
        <v>191</v>
      </c>
      <c r="C233" s="2">
        <v>1595</v>
      </c>
      <c r="D233" s="2">
        <v>3989</v>
      </c>
      <c r="E233" s="4" t="s">
        <v>190</v>
      </c>
      <c r="F233" s="3">
        <f>IFERROR((Таблица1[[#This Row],[Старая цена]]-Таблица1[[#This Row],[Новая цена]])/Таблица1[[#This Row],[Старая цена]],0)</f>
        <v>0.6001504136375031</v>
      </c>
      <c r="G233" s="5">
        <f>Таблица1[[#This Row],[Старая цена]]-Таблица1[[#This Row],[Новая цена]]</f>
        <v>2394</v>
      </c>
      <c r="H233">
        <v>7</v>
      </c>
    </row>
    <row r="234" spans="1:8" x14ac:dyDescent="0.25">
      <c r="A234" t="s">
        <v>226</v>
      </c>
      <c r="B234" t="s">
        <v>225</v>
      </c>
      <c r="C234" s="2">
        <v>597</v>
      </c>
      <c r="D234" s="2">
        <v>1990</v>
      </c>
      <c r="E234" s="4" t="s">
        <v>190</v>
      </c>
      <c r="F234" s="3">
        <f>IFERROR((Таблица1[[#This Row],[Старая цена]]-Таблица1[[#This Row],[Новая цена]])/Таблица1[[#This Row],[Старая цена]],0)</f>
        <v>0.7</v>
      </c>
      <c r="G234" s="5">
        <f>Таблица1[[#This Row],[Старая цена]]-Таблица1[[#This Row],[Новая цена]]</f>
        <v>1393</v>
      </c>
      <c r="H234">
        <v>20</v>
      </c>
    </row>
    <row r="235" spans="1:8" x14ac:dyDescent="0.25">
      <c r="A235" t="s">
        <v>201</v>
      </c>
      <c r="B235" t="s">
        <v>200</v>
      </c>
      <c r="C235" s="2">
        <v>487</v>
      </c>
      <c r="D235" s="2">
        <v>668</v>
      </c>
      <c r="E235" s="4" t="s">
        <v>190</v>
      </c>
      <c r="F235" s="3">
        <f>IFERROR((Таблица1[[#This Row],[Старая цена]]-Таблица1[[#This Row],[Новая цена]])/Таблица1[[#This Row],[Старая цена]],0)</f>
        <v>0.27095808383233533</v>
      </c>
      <c r="G235" s="5">
        <f>Таблица1[[#This Row],[Старая цена]]-Таблица1[[#This Row],[Новая цена]]</f>
        <v>181</v>
      </c>
      <c r="H235">
        <v>158</v>
      </c>
    </row>
    <row r="236" spans="1:8" x14ac:dyDescent="0.25">
      <c r="A236" t="s">
        <v>227</v>
      </c>
      <c r="B236" t="s">
        <v>191</v>
      </c>
      <c r="C236" s="2">
        <v>2000</v>
      </c>
      <c r="D236" s="2">
        <v>4000</v>
      </c>
      <c r="E236" s="4" t="s">
        <v>190</v>
      </c>
      <c r="F236" s="3">
        <f>IFERROR((Таблица1[[#This Row],[Старая цена]]-Таблица1[[#This Row],[Новая цена]])/Таблица1[[#This Row],[Старая цена]],0)</f>
        <v>0.5</v>
      </c>
      <c r="G236" s="5">
        <f>Таблица1[[#This Row],[Старая цена]]-Таблица1[[#This Row],[Новая цена]]</f>
        <v>2000</v>
      </c>
      <c r="H236">
        <v>9</v>
      </c>
    </row>
    <row r="237" spans="1:8" x14ac:dyDescent="0.25">
      <c r="A237" t="s">
        <v>201</v>
      </c>
      <c r="B237" t="s">
        <v>200</v>
      </c>
      <c r="C237" s="2">
        <v>279</v>
      </c>
      <c r="D237" s="2">
        <v>383</v>
      </c>
      <c r="E237" s="4" t="s">
        <v>190</v>
      </c>
      <c r="F237" s="3">
        <f>IFERROR((Таблица1[[#This Row],[Старая цена]]-Таблица1[[#This Row],[Новая цена]])/Таблица1[[#This Row],[Старая цена]],0)</f>
        <v>0.27154046997389036</v>
      </c>
      <c r="G237" s="5">
        <f>Таблица1[[#This Row],[Старая цена]]-Таблица1[[#This Row],[Новая цена]]</f>
        <v>104</v>
      </c>
      <c r="H237">
        <v>158</v>
      </c>
    </row>
    <row r="238" spans="1:8" x14ac:dyDescent="0.25">
      <c r="A238" t="s">
        <v>229</v>
      </c>
      <c r="B238" t="s">
        <v>228</v>
      </c>
      <c r="C238" s="2">
        <v>894</v>
      </c>
      <c r="D238" s="2">
        <v>1490</v>
      </c>
      <c r="E238" s="4" t="s">
        <v>190</v>
      </c>
      <c r="F238" s="3">
        <f>IFERROR((Таблица1[[#This Row],[Старая цена]]-Таблица1[[#This Row],[Новая цена]])/Таблица1[[#This Row],[Старая цена]],0)</f>
        <v>0.4</v>
      </c>
      <c r="G238" s="5">
        <f>Таблица1[[#This Row],[Старая цена]]-Таблица1[[#This Row],[Новая цена]]</f>
        <v>596</v>
      </c>
      <c r="H238">
        <v>10</v>
      </c>
    </row>
    <row r="239" spans="1:8" x14ac:dyDescent="0.25">
      <c r="A239" t="s">
        <v>220</v>
      </c>
      <c r="B239" t="s">
        <v>230</v>
      </c>
      <c r="C239" s="2">
        <v>3299</v>
      </c>
      <c r="D239" s="2">
        <v>10999</v>
      </c>
      <c r="E239" s="4" t="s">
        <v>190</v>
      </c>
      <c r="F239" s="3">
        <f>IFERROR((Таблица1[[#This Row],[Старая цена]]-Таблица1[[#This Row],[Новая цена]])/Таблица1[[#This Row],[Старая цена]],0)</f>
        <v>0.70006364214928629</v>
      </c>
      <c r="G239" s="5">
        <f>Таблица1[[#This Row],[Старая цена]]-Таблица1[[#This Row],[Новая цена]]</f>
        <v>7700</v>
      </c>
      <c r="H239">
        <v>0</v>
      </c>
    </row>
    <row r="240" spans="1:8" x14ac:dyDescent="0.25">
      <c r="A240" t="s">
        <v>194</v>
      </c>
      <c r="B240" t="s">
        <v>193</v>
      </c>
      <c r="C240" s="2">
        <v>11440</v>
      </c>
      <c r="D240" s="2">
        <v>26000</v>
      </c>
      <c r="E240" s="4" t="s">
        <v>190</v>
      </c>
      <c r="F240" s="3">
        <f>IFERROR((Таблица1[[#This Row],[Старая цена]]-Таблица1[[#This Row],[Новая цена]])/Таблица1[[#This Row],[Старая цена]],0)</f>
        <v>0.56000000000000005</v>
      </c>
      <c r="G240" s="5">
        <f>Таблица1[[#This Row],[Старая цена]]-Таблица1[[#This Row],[Новая цена]]</f>
        <v>14560</v>
      </c>
      <c r="H240">
        <v>9</v>
      </c>
    </row>
    <row r="241" spans="1:8" x14ac:dyDescent="0.25">
      <c r="A241" t="s">
        <v>232</v>
      </c>
      <c r="B241" t="s">
        <v>231</v>
      </c>
      <c r="C241" s="2">
        <v>490</v>
      </c>
      <c r="D241" s="2">
        <v>980</v>
      </c>
      <c r="E241" s="4" t="s">
        <v>190</v>
      </c>
      <c r="F241" s="3">
        <f>IFERROR((Таблица1[[#This Row],[Старая цена]]-Таблица1[[#This Row],[Новая цена]])/Таблица1[[#This Row],[Старая цена]],0)</f>
        <v>0.5</v>
      </c>
      <c r="G241" s="5">
        <f>Таблица1[[#This Row],[Старая цена]]-Таблица1[[#This Row],[Новая цена]]</f>
        <v>490</v>
      </c>
      <c r="H241">
        <v>0</v>
      </c>
    </row>
    <row r="242" spans="1:8" x14ac:dyDescent="0.25">
      <c r="A242" t="s">
        <v>234</v>
      </c>
      <c r="B242" t="s">
        <v>233</v>
      </c>
      <c r="C242" s="2">
        <v>5032</v>
      </c>
      <c r="D242" s="2">
        <v>6990</v>
      </c>
      <c r="E242" s="4" t="s">
        <v>190</v>
      </c>
      <c r="F242" s="3">
        <f>IFERROR((Таблица1[[#This Row],[Старая цена]]-Таблица1[[#This Row],[Новая цена]])/Таблица1[[#This Row],[Старая цена]],0)</f>
        <v>0.28011444921316164</v>
      </c>
      <c r="G242" s="5">
        <f>Таблица1[[#This Row],[Старая цена]]-Таблица1[[#This Row],[Новая цена]]</f>
        <v>1958</v>
      </c>
      <c r="H242">
        <v>0</v>
      </c>
    </row>
    <row r="243" spans="1:8" x14ac:dyDescent="0.25">
      <c r="A243" t="s">
        <v>236</v>
      </c>
      <c r="B243" t="s">
        <v>235</v>
      </c>
      <c r="C243" s="2">
        <v>494</v>
      </c>
      <c r="D243" s="2">
        <v>1099</v>
      </c>
      <c r="E243" s="4" t="s">
        <v>190</v>
      </c>
      <c r="F243" s="3">
        <f>IFERROR((Таблица1[[#This Row],[Старая цена]]-Таблица1[[#This Row],[Новая цена]])/Таблица1[[#This Row],[Старая цена]],0)</f>
        <v>0.55050045495905364</v>
      </c>
      <c r="G243" s="5">
        <f>Таблица1[[#This Row],[Старая цена]]-Таблица1[[#This Row],[Новая цена]]</f>
        <v>605</v>
      </c>
      <c r="H243">
        <v>0</v>
      </c>
    </row>
    <row r="244" spans="1:8" x14ac:dyDescent="0.25">
      <c r="A244" t="s">
        <v>199</v>
      </c>
      <c r="B244" t="s">
        <v>191</v>
      </c>
      <c r="C244" s="2">
        <v>960</v>
      </c>
      <c r="D244" s="2">
        <v>2400</v>
      </c>
      <c r="E244" s="4" t="s">
        <v>190</v>
      </c>
      <c r="F244" s="3">
        <f>IFERROR((Таблица1[[#This Row],[Старая цена]]-Таблица1[[#This Row],[Новая цена]])/Таблица1[[#This Row],[Старая цена]],0)</f>
        <v>0.6</v>
      </c>
      <c r="G244" s="5">
        <f>Таблица1[[#This Row],[Старая цена]]-Таблица1[[#This Row],[Новая цена]]</f>
        <v>1440</v>
      </c>
      <c r="H244">
        <v>46</v>
      </c>
    </row>
    <row r="245" spans="1:8" x14ac:dyDescent="0.25">
      <c r="A245" t="s">
        <v>238</v>
      </c>
      <c r="B245" t="s">
        <v>237</v>
      </c>
      <c r="C245" s="2">
        <v>470</v>
      </c>
      <c r="D245" s="2">
        <v>940</v>
      </c>
      <c r="E245" s="4" t="s">
        <v>190</v>
      </c>
      <c r="F245" s="3">
        <f>IFERROR((Таблица1[[#This Row],[Старая цена]]-Таблица1[[#This Row],[Новая цена]])/Таблица1[[#This Row],[Старая цена]],0)</f>
        <v>0.5</v>
      </c>
      <c r="G245" s="5">
        <f>Таблица1[[#This Row],[Старая цена]]-Таблица1[[#This Row],[Новая цена]]</f>
        <v>470</v>
      </c>
      <c r="H245">
        <v>41</v>
      </c>
    </row>
    <row r="246" spans="1:8" x14ac:dyDescent="0.25">
      <c r="A246" t="s">
        <v>239</v>
      </c>
      <c r="B246" t="s">
        <v>209</v>
      </c>
      <c r="C246" s="2">
        <v>350</v>
      </c>
      <c r="D246" s="2">
        <v>875</v>
      </c>
      <c r="E246" s="4" t="s">
        <v>190</v>
      </c>
      <c r="F246" s="3">
        <f>IFERROR((Таблица1[[#This Row],[Старая цена]]-Таблица1[[#This Row],[Новая цена]])/Таблица1[[#This Row],[Старая цена]],0)</f>
        <v>0.6</v>
      </c>
      <c r="G246" s="5">
        <f>Таблица1[[#This Row],[Старая цена]]-Таблица1[[#This Row],[Новая цена]]</f>
        <v>525</v>
      </c>
      <c r="H246">
        <v>5</v>
      </c>
    </row>
    <row r="247" spans="1:8" x14ac:dyDescent="0.25">
      <c r="A247" t="s">
        <v>241</v>
      </c>
      <c r="B247" t="s">
        <v>240</v>
      </c>
      <c r="C247" s="2">
        <v>3255</v>
      </c>
      <c r="D247" s="2">
        <v>10500</v>
      </c>
      <c r="E247" s="4" t="s">
        <v>190</v>
      </c>
      <c r="F247" s="3">
        <f>IFERROR((Таблица1[[#This Row],[Старая цена]]-Таблица1[[#This Row],[Новая цена]])/Таблица1[[#This Row],[Старая цена]],0)</f>
        <v>0.69</v>
      </c>
      <c r="G247" s="5">
        <f>Таблица1[[#This Row],[Старая цена]]-Таблица1[[#This Row],[Новая цена]]</f>
        <v>7245</v>
      </c>
      <c r="H247">
        <v>1</v>
      </c>
    </row>
    <row r="248" spans="1:8" x14ac:dyDescent="0.25">
      <c r="A248" t="s">
        <v>243</v>
      </c>
      <c r="B248" t="s">
        <v>242</v>
      </c>
      <c r="C248" s="2">
        <v>5733</v>
      </c>
      <c r="D248" s="2">
        <v>11467</v>
      </c>
      <c r="E248" s="4" t="s">
        <v>190</v>
      </c>
      <c r="F248" s="3">
        <f>IFERROR((Таблица1[[#This Row],[Старая цена]]-Таблица1[[#This Row],[Новая цена]])/Таблица1[[#This Row],[Старая цена]],0)</f>
        <v>0.50004360338362253</v>
      </c>
      <c r="G248" s="5">
        <f>Таблица1[[#This Row],[Старая цена]]-Таблица1[[#This Row],[Новая цена]]</f>
        <v>5734</v>
      </c>
      <c r="H248">
        <v>2</v>
      </c>
    </row>
    <row r="249" spans="1:8" x14ac:dyDescent="0.25">
      <c r="A249" t="s">
        <v>244</v>
      </c>
      <c r="B249" t="s">
        <v>191</v>
      </c>
      <c r="C249" s="2">
        <v>414</v>
      </c>
      <c r="D249" s="2">
        <v>1800</v>
      </c>
      <c r="E249" s="4" t="s">
        <v>190</v>
      </c>
      <c r="F249" s="3">
        <f>IFERROR((Таблица1[[#This Row],[Старая цена]]-Таблица1[[#This Row],[Новая цена]])/Таблица1[[#This Row],[Старая цена]],0)</f>
        <v>0.77</v>
      </c>
      <c r="G249" s="5">
        <f>Таблица1[[#This Row],[Старая цена]]-Таблица1[[#This Row],[Новая цена]]</f>
        <v>1386</v>
      </c>
      <c r="H249">
        <v>10</v>
      </c>
    </row>
    <row r="250" spans="1:8" x14ac:dyDescent="0.25">
      <c r="A250" t="s">
        <v>196</v>
      </c>
      <c r="B250" t="s">
        <v>195</v>
      </c>
      <c r="C250" s="2">
        <v>1290</v>
      </c>
      <c r="D250" s="2">
        <v>3225</v>
      </c>
      <c r="E250" s="4" t="s">
        <v>190</v>
      </c>
      <c r="F250" s="3">
        <f>IFERROR((Таблица1[[#This Row],[Старая цена]]-Таблица1[[#This Row],[Новая цена]])/Таблица1[[#This Row],[Старая цена]],0)</f>
        <v>0.6</v>
      </c>
      <c r="G250" s="5">
        <f>Таблица1[[#This Row],[Старая цена]]-Таблица1[[#This Row],[Новая цена]]</f>
        <v>1935</v>
      </c>
      <c r="H250">
        <v>126</v>
      </c>
    </row>
    <row r="251" spans="1:8" x14ac:dyDescent="0.25">
      <c r="A251" t="s">
        <v>245</v>
      </c>
      <c r="B251" t="s">
        <v>209</v>
      </c>
      <c r="C251" s="2">
        <v>254</v>
      </c>
      <c r="D251" s="2">
        <v>689</v>
      </c>
      <c r="E251" s="4" t="s">
        <v>190</v>
      </c>
      <c r="F251" s="3">
        <f>IFERROR((Таблица1[[#This Row],[Старая цена]]-Таблица1[[#This Row],[Новая цена]])/Таблица1[[#This Row],[Старая цена]],0)</f>
        <v>0.63134978229317851</v>
      </c>
      <c r="G251" s="5">
        <f>Таблица1[[#This Row],[Старая цена]]-Таблица1[[#This Row],[Новая цена]]</f>
        <v>435</v>
      </c>
      <c r="H251">
        <v>0</v>
      </c>
    </row>
    <row r="252" spans="1:8" x14ac:dyDescent="0.25">
      <c r="A252" t="s">
        <v>246</v>
      </c>
      <c r="B252" t="s">
        <v>191</v>
      </c>
      <c r="C252" s="2">
        <v>1000</v>
      </c>
      <c r="E252" s="4" t="s">
        <v>190</v>
      </c>
      <c r="F252" s="3">
        <f>IFERROR((Таблица1[[#This Row],[Старая цена]]-Таблица1[[#This Row],[Новая цена]])/Таблица1[[#This Row],[Старая цена]],0)</f>
        <v>0</v>
      </c>
      <c r="G252" s="5">
        <f>Таблица1[[#This Row],[Старая цена]]-Таблица1[[#This Row],[Новая цена]]</f>
        <v>-1000</v>
      </c>
      <c r="H252">
        <v>0</v>
      </c>
    </row>
    <row r="253" spans="1:8" x14ac:dyDescent="0.25">
      <c r="A253" t="s">
        <v>247</v>
      </c>
      <c r="B253" t="s">
        <v>230</v>
      </c>
      <c r="C253" s="2">
        <v>3299</v>
      </c>
      <c r="D253" s="2">
        <v>10999</v>
      </c>
      <c r="E253" s="4" t="s">
        <v>190</v>
      </c>
      <c r="F253" s="3">
        <f>IFERROR((Таблица1[[#This Row],[Старая цена]]-Таблица1[[#This Row],[Новая цена]])/Таблица1[[#This Row],[Старая цена]],0)</f>
        <v>0.70006364214928629</v>
      </c>
      <c r="G253" s="5">
        <f>Таблица1[[#This Row],[Старая цена]]-Таблица1[[#This Row],[Новая цена]]</f>
        <v>7700</v>
      </c>
      <c r="H253">
        <v>0</v>
      </c>
    </row>
    <row r="254" spans="1:8" x14ac:dyDescent="0.25">
      <c r="A254" t="s">
        <v>199</v>
      </c>
      <c r="B254" t="s">
        <v>248</v>
      </c>
      <c r="C254" s="2">
        <v>780</v>
      </c>
      <c r="D254" s="2">
        <v>2000</v>
      </c>
      <c r="E254" s="4" t="s">
        <v>190</v>
      </c>
      <c r="F254" s="3">
        <f>IFERROR((Таблица1[[#This Row],[Старая цена]]-Таблица1[[#This Row],[Новая цена]])/Таблица1[[#This Row],[Старая цена]],0)</f>
        <v>0.61</v>
      </c>
      <c r="G254" s="5">
        <f>Таблица1[[#This Row],[Старая цена]]-Таблица1[[#This Row],[Новая цена]]</f>
        <v>1220</v>
      </c>
      <c r="H254">
        <v>2</v>
      </c>
    </row>
    <row r="255" spans="1:8" x14ac:dyDescent="0.25">
      <c r="A255" t="s">
        <v>250</v>
      </c>
      <c r="B255" t="s">
        <v>249</v>
      </c>
      <c r="C255" s="2">
        <v>6760</v>
      </c>
      <c r="D255" s="2">
        <v>13000</v>
      </c>
      <c r="E255" s="4" t="s">
        <v>190</v>
      </c>
      <c r="F255" s="3">
        <f>IFERROR((Таблица1[[#This Row],[Старая цена]]-Таблица1[[#This Row],[Новая цена]])/Таблица1[[#This Row],[Старая цена]],0)</f>
        <v>0.48</v>
      </c>
      <c r="G255" s="5">
        <f>Таблица1[[#This Row],[Старая цена]]-Таблица1[[#This Row],[Новая цена]]</f>
        <v>6240</v>
      </c>
      <c r="H255">
        <v>0</v>
      </c>
    </row>
    <row r="256" spans="1:8" x14ac:dyDescent="0.25">
      <c r="A256" t="s">
        <v>252</v>
      </c>
      <c r="B256" t="s">
        <v>251</v>
      </c>
      <c r="C256" s="2">
        <v>499</v>
      </c>
      <c r="D256" s="2">
        <v>515</v>
      </c>
      <c r="E256" s="4" t="s">
        <v>190</v>
      </c>
      <c r="F256" s="3">
        <f>IFERROR((Таблица1[[#This Row],[Старая цена]]-Таблица1[[#This Row],[Новая цена]])/Таблица1[[#This Row],[Старая цена]],0)</f>
        <v>3.1067961165048542E-2</v>
      </c>
      <c r="G256" s="5">
        <f>Таблица1[[#This Row],[Старая цена]]-Таблица1[[#This Row],[Новая цена]]</f>
        <v>16</v>
      </c>
      <c r="H256">
        <v>0</v>
      </c>
    </row>
    <row r="257" spans="1:8" x14ac:dyDescent="0.25">
      <c r="A257" t="s">
        <v>254</v>
      </c>
      <c r="B257" t="s">
        <v>253</v>
      </c>
      <c r="C257" s="2">
        <v>8596</v>
      </c>
      <c r="E257" s="4" t="s">
        <v>190</v>
      </c>
      <c r="F257" s="3">
        <f>IFERROR((Таблица1[[#This Row],[Старая цена]]-Таблица1[[#This Row],[Новая цена]])/Таблица1[[#This Row],[Старая цена]],0)</f>
        <v>0</v>
      </c>
      <c r="G257" s="5">
        <f>Таблица1[[#This Row],[Старая цена]]-Таблица1[[#This Row],[Новая цена]]</f>
        <v>-8596</v>
      </c>
      <c r="H257">
        <v>0</v>
      </c>
    </row>
    <row r="258" spans="1:8" x14ac:dyDescent="0.25">
      <c r="A258" t="s">
        <v>256</v>
      </c>
      <c r="B258" t="s">
        <v>255</v>
      </c>
      <c r="C258" s="2">
        <v>9259</v>
      </c>
      <c r="D258" s="2">
        <v>9851</v>
      </c>
      <c r="E258" s="4" t="s">
        <v>190</v>
      </c>
      <c r="F258" s="3">
        <f>IFERROR((Таблица1[[#This Row],[Старая цена]]-Таблица1[[#This Row],[Новая цена]])/Таблица1[[#This Row],[Старая цена]],0)</f>
        <v>6.0095421784590396E-2</v>
      </c>
      <c r="G258" s="5">
        <f>Таблица1[[#This Row],[Старая цена]]-Таблица1[[#This Row],[Новая цена]]</f>
        <v>592</v>
      </c>
      <c r="H258">
        <v>1</v>
      </c>
    </row>
    <row r="259" spans="1:8" x14ac:dyDescent="0.25">
      <c r="A259" t="s">
        <v>202</v>
      </c>
      <c r="B259" t="s">
        <v>191</v>
      </c>
      <c r="C259" s="2">
        <v>3082</v>
      </c>
      <c r="D259" s="2">
        <v>5315</v>
      </c>
      <c r="E259" s="4" t="s">
        <v>190</v>
      </c>
      <c r="F259" s="3">
        <f>IFERROR((Таблица1[[#This Row],[Старая цена]]-Таблица1[[#This Row],[Новая цена]])/Таблица1[[#This Row],[Старая цена]],0)</f>
        <v>0.42013170272812794</v>
      </c>
      <c r="G259" s="5">
        <f>Таблица1[[#This Row],[Старая цена]]-Таблица1[[#This Row],[Новая цена]]</f>
        <v>2233</v>
      </c>
      <c r="H259">
        <v>4</v>
      </c>
    </row>
    <row r="260" spans="1:8" x14ac:dyDescent="0.25">
      <c r="A260" t="s">
        <v>257</v>
      </c>
      <c r="B260" t="s">
        <v>240</v>
      </c>
      <c r="C260" s="2">
        <v>2565</v>
      </c>
      <c r="D260" s="2">
        <v>5700</v>
      </c>
      <c r="E260" s="4" t="s">
        <v>190</v>
      </c>
      <c r="F260" s="3">
        <f>IFERROR((Таблица1[[#This Row],[Старая цена]]-Таблица1[[#This Row],[Новая цена]])/Таблица1[[#This Row],[Старая цена]],0)</f>
        <v>0.55000000000000004</v>
      </c>
      <c r="G260" s="5">
        <f>Таблица1[[#This Row],[Старая цена]]-Таблица1[[#This Row],[Новая цена]]</f>
        <v>3135</v>
      </c>
      <c r="H260">
        <v>2</v>
      </c>
    </row>
    <row r="261" spans="1:8" x14ac:dyDescent="0.25">
      <c r="A261" t="s">
        <v>245</v>
      </c>
      <c r="B261" t="s">
        <v>209</v>
      </c>
      <c r="C261" s="2">
        <v>324</v>
      </c>
      <c r="D261" s="2">
        <v>810</v>
      </c>
      <c r="E261" s="4" t="s">
        <v>190</v>
      </c>
      <c r="F261" s="3">
        <f>IFERROR((Таблица1[[#This Row],[Старая цена]]-Таблица1[[#This Row],[Новая цена]])/Таблица1[[#This Row],[Старая цена]],0)</f>
        <v>0.6</v>
      </c>
      <c r="G261" s="5">
        <f>Таблица1[[#This Row],[Старая цена]]-Таблица1[[#This Row],[Новая цена]]</f>
        <v>486</v>
      </c>
      <c r="H261">
        <v>0</v>
      </c>
    </row>
    <row r="262" spans="1:8" x14ac:dyDescent="0.25">
      <c r="A262" t="s">
        <v>218</v>
      </c>
      <c r="B262" t="s">
        <v>217</v>
      </c>
      <c r="C262" s="2">
        <v>3066</v>
      </c>
      <c r="D262" s="2">
        <v>7665</v>
      </c>
      <c r="E262" s="4" t="s">
        <v>190</v>
      </c>
      <c r="F262" s="3">
        <f>IFERROR((Таблица1[[#This Row],[Старая цена]]-Таблица1[[#This Row],[Новая цена]])/Таблица1[[#This Row],[Старая цена]],0)</f>
        <v>0.6</v>
      </c>
      <c r="G262" s="5">
        <f>Таблица1[[#This Row],[Старая цена]]-Таблица1[[#This Row],[Новая цена]]</f>
        <v>4599</v>
      </c>
      <c r="H262">
        <v>18</v>
      </c>
    </row>
    <row r="263" spans="1:8" x14ac:dyDescent="0.25">
      <c r="A263" t="s">
        <v>199</v>
      </c>
      <c r="B263" t="s">
        <v>191</v>
      </c>
      <c r="C263" s="2">
        <v>840</v>
      </c>
      <c r="D263" s="2">
        <v>2400</v>
      </c>
      <c r="E263" s="4" t="s">
        <v>190</v>
      </c>
      <c r="F263" s="3">
        <f>IFERROR((Таблица1[[#This Row],[Старая цена]]-Таблица1[[#This Row],[Новая цена]])/Таблица1[[#This Row],[Старая цена]],0)</f>
        <v>0.65</v>
      </c>
      <c r="G263" s="5">
        <f>Таблица1[[#This Row],[Старая цена]]-Таблица1[[#This Row],[Новая цена]]</f>
        <v>1560</v>
      </c>
      <c r="H263">
        <v>46</v>
      </c>
    </row>
    <row r="264" spans="1:8" x14ac:dyDescent="0.25">
      <c r="A264" t="s">
        <v>258</v>
      </c>
      <c r="B264" t="s">
        <v>219</v>
      </c>
      <c r="C264" s="2">
        <v>4629</v>
      </c>
      <c r="D264" s="2">
        <v>7715</v>
      </c>
      <c r="E264" s="4" t="s">
        <v>190</v>
      </c>
      <c r="F264" s="3">
        <f>IFERROR((Таблица1[[#This Row],[Старая цена]]-Таблица1[[#This Row],[Новая цена]])/Таблица1[[#This Row],[Старая цена]],0)</f>
        <v>0.4</v>
      </c>
      <c r="G264" s="5">
        <f>Таблица1[[#This Row],[Старая цена]]-Таблица1[[#This Row],[Новая цена]]</f>
        <v>3086</v>
      </c>
      <c r="H264">
        <v>0</v>
      </c>
    </row>
    <row r="265" spans="1:8" x14ac:dyDescent="0.25">
      <c r="A265" t="s">
        <v>238</v>
      </c>
      <c r="B265" t="s">
        <v>237</v>
      </c>
      <c r="C265" s="2">
        <v>470</v>
      </c>
      <c r="D265" s="2">
        <v>940</v>
      </c>
      <c r="E265" s="4" t="s">
        <v>190</v>
      </c>
      <c r="F265" s="3">
        <f>IFERROR((Таблица1[[#This Row],[Старая цена]]-Таблица1[[#This Row],[Новая цена]])/Таблица1[[#This Row],[Старая цена]],0)</f>
        <v>0.5</v>
      </c>
      <c r="G265" s="5">
        <f>Таблица1[[#This Row],[Старая цена]]-Таблица1[[#This Row],[Новая цена]]</f>
        <v>470</v>
      </c>
      <c r="H265">
        <v>41</v>
      </c>
    </row>
    <row r="266" spans="1:8" x14ac:dyDescent="0.25">
      <c r="A266" t="s">
        <v>238</v>
      </c>
      <c r="B266" t="s">
        <v>237</v>
      </c>
      <c r="C266" s="2">
        <v>470</v>
      </c>
      <c r="D266" s="2">
        <v>940</v>
      </c>
      <c r="E266" s="4" t="s">
        <v>190</v>
      </c>
      <c r="F266" s="3">
        <f>IFERROR((Таблица1[[#This Row],[Старая цена]]-Таблица1[[#This Row],[Новая цена]])/Таблица1[[#This Row],[Старая цена]],0)</f>
        <v>0.5</v>
      </c>
      <c r="G266" s="5">
        <f>Таблица1[[#This Row],[Старая цена]]-Таблица1[[#This Row],[Новая цена]]</f>
        <v>470</v>
      </c>
      <c r="H266">
        <v>41</v>
      </c>
    </row>
    <row r="267" spans="1:8" x14ac:dyDescent="0.25">
      <c r="A267" t="s">
        <v>260</v>
      </c>
      <c r="B267" t="s">
        <v>259</v>
      </c>
      <c r="C267" s="2">
        <v>3097</v>
      </c>
      <c r="D267" s="2">
        <v>8850</v>
      </c>
      <c r="E267" s="4" t="s">
        <v>190</v>
      </c>
      <c r="F267" s="3">
        <f>IFERROR((Таблица1[[#This Row],[Старая цена]]-Таблица1[[#This Row],[Новая цена]])/Таблица1[[#This Row],[Старая цена]],0)</f>
        <v>0.65005649717514125</v>
      </c>
      <c r="G267" s="5">
        <f>Таблица1[[#This Row],[Старая цена]]-Таблица1[[#This Row],[Новая цена]]</f>
        <v>5753</v>
      </c>
      <c r="H267">
        <v>1</v>
      </c>
    </row>
    <row r="268" spans="1:8" x14ac:dyDescent="0.25">
      <c r="A268" t="s">
        <v>194</v>
      </c>
      <c r="B268" t="s">
        <v>223</v>
      </c>
      <c r="C268" s="2">
        <v>9198</v>
      </c>
      <c r="D268" s="2">
        <v>21900</v>
      </c>
      <c r="E268" s="4" t="s">
        <v>190</v>
      </c>
      <c r="F268" s="3">
        <f>IFERROR((Таблица1[[#This Row],[Старая цена]]-Таблица1[[#This Row],[Новая цена]])/Таблица1[[#This Row],[Старая цена]],0)</f>
        <v>0.57999999999999996</v>
      </c>
      <c r="G268" s="5">
        <f>Таблица1[[#This Row],[Старая цена]]-Таблица1[[#This Row],[Новая цена]]</f>
        <v>12702</v>
      </c>
      <c r="H268">
        <v>20</v>
      </c>
    </row>
    <row r="269" spans="1:8" x14ac:dyDescent="0.25">
      <c r="A269" t="s">
        <v>261</v>
      </c>
      <c r="B269" t="s">
        <v>191</v>
      </c>
      <c r="C269" s="2">
        <v>966</v>
      </c>
      <c r="D269" s="2">
        <v>1400</v>
      </c>
      <c r="E269" s="4" t="s">
        <v>190</v>
      </c>
      <c r="F269" s="3">
        <f>IFERROR((Таблица1[[#This Row],[Старая цена]]-Таблица1[[#This Row],[Новая цена]])/Таблица1[[#This Row],[Старая цена]],0)</f>
        <v>0.31</v>
      </c>
      <c r="G269" s="5">
        <f>Таблица1[[#This Row],[Старая цена]]-Таблица1[[#This Row],[Новая цена]]</f>
        <v>434</v>
      </c>
      <c r="H269">
        <v>0</v>
      </c>
    </row>
    <row r="270" spans="1:8" x14ac:dyDescent="0.25">
      <c r="A270" t="s">
        <v>263</v>
      </c>
      <c r="B270" t="s">
        <v>262</v>
      </c>
      <c r="C270" s="2">
        <v>3390</v>
      </c>
      <c r="E270" s="4" t="s">
        <v>190</v>
      </c>
      <c r="F270" s="3">
        <f>IFERROR((Таблица1[[#This Row],[Старая цена]]-Таблица1[[#This Row],[Новая цена]])/Таблица1[[#This Row],[Старая цена]],0)</f>
        <v>0</v>
      </c>
      <c r="G270" s="5">
        <f>Таблица1[[#This Row],[Старая цена]]-Таблица1[[#This Row],[Новая цена]]</f>
        <v>-3390</v>
      </c>
      <c r="H270">
        <v>0</v>
      </c>
    </row>
    <row r="271" spans="1:8" x14ac:dyDescent="0.25">
      <c r="A271" t="s">
        <v>264</v>
      </c>
      <c r="B271" t="s">
        <v>230</v>
      </c>
      <c r="C271" s="2">
        <v>4059</v>
      </c>
      <c r="D271" s="2">
        <v>5799</v>
      </c>
      <c r="E271" s="4" t="s">
        <v>190</v>
      </c>
      <c r="F271" s="3">
        <f>IFERROR((Таблица1[[#This Row],[Старая цена]]-Таблица1[[#This Row],[Новая цена]])/Таблица1[[#This Row],[Старая цена]],0)</f>
        <v>0.30005173305742372</v>
      </c>
      <c r="G271" s="5">
        <f>Таблица1[[#This Row],[Старая цена]]-Таблица1[[#This Row],[Новая цена]]</f>
        <v>1740</v>
      </c>
      <c r="H271">
        <v>0</v>
      </c>
    </row>
    <row r="272" spans="1:8" x14ac:dyDescent="0.25">
      <c r="A272" t="s">
        <v>245</v>
      </c>
      <c r="B272" t="s">
        <v>209</v>
      </c>
      <c r="C272" s="2">
        <v>288</v>
      </c>
      <c r="D272" s="2">
        <v>722</v>
      </c>
      <c r="E272" s="4" t="s">
        <v>190</v>
      </c>
      <c r="F272" s="3">
        <f>IFERROR((Таблица1[[#This Row],[Старая цена]]-Таблица1[[#This Row],[Новая цена]])/Таблица1[[#This Row],[Старая цена]],0)</f>
        <v>0.60110803324099726</v>
      </c>
      <c r="G272" s="5">
        <f>Таблица1[[#This Row],[Старая цена]]-Таблица1[[#This Row],[Новая цена]]</f>
        <v>434</v>
      </c>
      <c r="H272">
        <v>0</v>
      </c>
    </row>
    <row r="273" spans="1:8" x14ac:dyDescent="0.25">
      <c r="A273" t="s">
        <v>238</v>
      </c>
      <c r="B273" t="s">
        <v>237</v>
      </c>
      <c r="C273" s="2">
        <v>270</v>
      </c>
      <c r="D273" s="2">
        <v>540</v>
      </c>
      <c r="E273" s="4" t="s">
        <v>190</v>
      </c>
      <c r="F273" s="3">
        <f>IFERROR((Таблица1[[#This Row],[Старая цена]]-Таблица1[[#This Row],[Новая цена]])/Таблица1[[#This Row],[Старая цена]],0)</f>
        <v>0.5</v>
      </c>
      <c r="G273" s="5">
        <f>Таблица1[[#This Row],[Старая цена]]-Таблица1[[#This Row],[Новая цена]]</f>
        <v>270</v>
      </c>
      <c r="H273">
        <v>41</v>
      </c>
    </row>
    <row r="274" spans="1:8" x14ac:dyDescent="0.25">
      <c r="A274" t="s">
        <v>265</v>
      </c>
      <c r="B274" t="s">
        <v>240</v>
      </c>
      <c r="C274" s="2">
        <v>30209</v>
      </c>
      <c r="E274" s="4" t="s">
        <v>190</v>
      </c>
      <c r="F274" s="3">
        <f>IFERROR((Таблица1[[#This Row],[Старая цена]]-Таблица1[[#This Row],[Новая цена]])/Таблица1[[#This Row],[Старая цена]],0)</f>
        <v>0</v>
      </c>
      <c r="G274" s="5">
        <f>Таблица1[[#This Row],[Старая цена]]-Таблица1[[#This Row],[Новая цена]]</f>
        <v>-30209</v>
      </c>
      <c r="H274">
        <v>0</v>
      </c>
    </row>
    <row r="275" spans="1:8" x14ac:dyDescent="0.25">
      <c r="A275" t="s">
        <v>238</v>
      </c>
      <c r="B275" t="s">
        <v>237</v>
      </c>
      <c r="C275" s="2">
        <v>470</v>
      </c>
      <c r="D275" s="2">
        <v>940</v>
      </c>
      <c r="E275" s="4" t="s">
        <v>190</v>
      </c>
      <c r="F275" s="3">
        <f>IFERROR((Таблица1[[#This Row],[Старая цена]]-Таблица1[[#This Row],[Новая цена]])/Таблица1[[#This Row],[Старая цена]],0)</f>
        <v>0.5</v>
      </c>
      <c r="G275" s="5">
        <f>Таблица1[[#This Row],[Старая цена]]-Таблица1[[#This Row],[Новая цена]]</f>
        <v>470</v>
      </c>
      <c r="H275">
        <v>41</v>
      </c>
    </row>
    <row r="276" spans="1:8" x14ac:dyDescent="0.25">
      <c r="A276" t="s">
        <v>267</v>
      </c>
      <c r="B276" t="s">
        <v>266</v>
      </c>
      <c r="C276" s="2">
        <v>552</v>
      </c>
      <c r="D276" s="2">
        <v>1200</v>
      </c>
      <c r="E276" s="4" t="s">
        <v>190</v>
      </c>
      <c r="F276" s="3">
        <f>IFERROR((Таблица1[[#This Row],[Старая цена]]-Таблица1[[#This Row],[Новая цена]])/Таблица1[[#This Row],[Старая цена]],0)</f>
        <v>0.54</v>
      </c>
      <c r="G276" s="5">
        <f>Таблица1[[#This Row],[Старая цена]]-Таблица1[[#This Row],[Новая цена]]</f>
        <v>648</v>
      </c>
      <c r="H276">
        <v>1</v>
      </c>
    </row>
    <row r="277" spans="1:8" x14ac:dyDescent="0.25">
      <c r="A277" t="s">
        <v>269</v>
      </c>
      <c r="B277" t="s">
        <v>268</v>
      </c>
      <c r="C277" s="2">
        <v>4062</v>
      </c>
      <c r="D277" s="2">
        <v>7965</v>
      </c>
      <c r="E277" s="4" t="s">
        <v>190</v>
      </c>
      <c r="F277" s="3">
        <f>IFERROR((Таблица1[[#This Row],[Старая цена]]-Таблица1[[#This Row],[Новая цена]])/Таблица1[[#This Row],[Старая цена]],0)</f>
        <v>0.49001883239171373</v>
      </c>
      <c r="G277" s="5">
        <f>Таблица1[[#This Row],[Старая цена]]-Таблица1[[#This Row],[Новая цена]]</f>
        <v>3903</v>
      </c>
      <c r="H277">
        <v>0</v>
      </c>
    </row>
    <row r="278" spans="1:8" x14ac:dyDescent="0.25">
      <c r="A278" t="s">
        <v>238</v>
      </c>
      <c r="B278" t="s">
        <v>237</v>
      </c>
      <c r="C278" s="2">
        <v>270</v>
      </c>
      <c r="D278" s="2">
        <v>540</v>
      </c>
      <c r="E278" s="4" t="s">
        <v>190</v>
      </c>
      <c r="F278" s="3">
        <f>IFERROR((Таблица1[[#This Row],[Старая цена]]-Таблица1[[#This Row],[Новая цена]])/Таблица1[[#This Row],[Старая цена]],0)</f>
        <v>0.5</v>
      </c>
      <c r="G278" s="5">
        <f>Таблица1[[#This Row],[Старая цена]]-Таблица1[[#This Row],[Новая цена]]</f>
        <v>270</v>
      </c>
      <c r="H278">
        <v>41</v>
      </c>
    </row>
    <row r="279" spans="1:8" x14ac:dyDescent="0.25">
      <c r="A279" t="s">
        <v>244</v>
      </c>
      <c r="B279" t="s">
        <v>191</v>
      </c>
      <c r="C279" s="2">
        <v>414</v>
      </c>
      <c r="D279" s="2">
        <v>1800</v>
      </c>
      <c r="E279" s="4" t="s">
        <v>190</v>
      </c>
      <c r="F279" s="3">
        <f>IFERROR((Таблица1[[#This Row],[Старая цена]]-Таблица1[[#This Row],[Новая цена]])/Таблица1[[#This Row],[Старая цена]],0)</f>
        <v>0.77</v>
      </c>
      <c r="G279" s="5">
        <f>Таблица1[[#This Row],[Старая цена]]-Таблица1[[#This Row],[Новая цена]]</f>
        <v>1386</v>
      </c>
      <c r="H279">
        <v>10</v>
      </c>
    </row>
    <row r="280" spans="1:8" x14ac:dyDescent="0.25">
      <c r="A280" t="s">
        <v>270</v>
      </c>
      <c r="B280" t="s">
        <v>191</v>
      </c>
      <c r="C280" s="2">
        <v>1429</v>
      </c>
      <c r="D280" s="2">
        <v>1588</v>
      </c>
      <c r="E280" s="4" t="s">
        <v>190</v>
      </c>
      <c r="F280" s="3">
        <f>IFERROR((Таблица1[[#This Row],[Старая цена]]-Таблица1[[#This Row],[Новая цена]])/Таблица1[[#This Row],[Старая цена]],0)</f>
        <v>0.10012594458438287</v>
      </c>
      <c r="G280" s="5">
        <f>Таблица1[[#This Row],[Старая цена]]-Таблица1[[#This Row],[Новая цена]]</f>
        <v>159</v>
      </c>
      <c r="H280">
        <v>0</v>
      </c>
    </row>
    <row r="281" spans="1:8" x14ac:dyDescent="0.25">
      <c r="A281" t="s">
        <v>270</v>
      </c>
      <c r="B281" t="s">
        <v>191</v>
      </c>
      <c r="C281" s="2">
        <v>1502</v>
      </c>
      <c r="D281" s="2">
        <v>1669</v>
      </c>
      <c r="E281" s="4" t="s">
        <v>190</v>
      </c>
      <c r="F281" s="3">
        <f>IFERROR((Таблица1[[#This Row],[Старая цена]]-Таблица1[[#This Row],[Новая цена]])/Таблица1[[#This Row],[Старая цена]],0)</f>
        <v>0.10005991611743559</v>
      </c>
      <c r="G281" s="5">
        <f>Таблица1[[#This Row],[Старая цена]]-Таблица1[[#This Row],[Новая цена]]</f>
        <v>167</v>
      </c>
      <c r="H281">
        <v>0</v>
      </c>
    </row>
    <row r="282" spans="1:8" x14ac:dyDescent="0.25">
      <c r="A282" t="s">
        <v>245</v>
      </c>
      <c r="B282" t="s">
        <v>209</v>
      </c>
      <c r="C282" s="2">
        <v>295</v>
      </c>
      <c r="D282" s="2">
        <v>799</v>
      </c>
      <c r="E282" s="4" t="s">
        <v>190</v>
      </c>
      <c r="F282" s="3">
        <f>IFERROR((Таблица1[[#This Row],[Старая цена]]-Таблица1[[#This Row],[Новая цена]])/Таблица1[[#This Row],[Старая цена]],0)</f>
        <v>0.63078848560700873</v>
      </c>
      <c r="G282" s="5">
        <f>Таблица1[[#This Row],[Старая цена]]-Таблица1[[#This Row],[Новая цена]]</f>
        <v>504</v>
      </c>
      <c r="H282">
        <v>0</v>
      </c>
    </row>
    <row r="283" spans="1:8" x14ac:dyDescent="0.25">
      <c r="A283" t="s">
        <v>272</v>
      </c>
      <c r="B283" t="s">
        <v>271</v>
      </c>
      <c r="C283" s="2">
        <v>2555</v>
      </c>
      <c r="D283" s="2">
        <v>3650</v>
      </c>
      <c r="E283" s="4" t="s">
        <v>190</v>
      </c>
      <c r="F283" s="3">
        <f>IFERROR((Таблица1[[#This Row],[Старая цена]]-Таблица1[[#This Row],[Новая цена]])/Таблица1[[#This Row],[Старая цена]],0)</f>
        <v>0.3</v>
      </c>
      <c r="G283" s="5">
        <f>Таблица1[[#This Row],[Старая цена]]-Таблица1[[#This Row],[Новая цена]]</f>
        <v>1095</v>
      </c>
      <c r="H283">
        <v>7</v>
      </c>
    </row>
    <row r="284" spans="1:8" x14ac:dyDescent="0.25">
      <c r="A284" t="s">
        <v>273</v>
      </c>
      <c r="B284" t="s">
        <v>191</v>
      </c>
      <c r="C284" s="2">
        <v>8456</v>
      </c>
      <c r="E284" s="4" t="s">
        <v>190</v>
      </c>
      <c r="F284" s="3">
        <f>IFERROR((Таблица1[[#This Row],[Старая цена]]-Таблица1[[#This Row],[Новая цена]])/Таблица1[[#This Row],[Старая цена]],0)</f>
        <v>0</v>
      </c>
      <c r="G284" s="5">
        <f>Таблица1[[#This Row],[Старая цена]]-Таблица1[[#This Row],[Новая цена]]</f>
        <v>-8456</v>
      </c>
      <c r="H284">
        <v>0</v>
      </c>
    </row>
    <row r="285" spans="1:8" x14ac:dyDescent="0.25">
      <c r="A285" t="s">
        <v>275</v>
      </c>
      <c r="B285" t="s">
        <v>274</v>
      </c>
      <c r="C285" s="2">
        <v>20913</v>
      </c>
      <c r="D285" s="2">
        <v>21560</v>
      </c>
      <c r="E285" s="4" t="s">
        <v>190</v>
      </c>
      <c r="F285" s="3">
        <f>IFERROR((Таблица1[[#This Row],[Старая цена]]-Таблица1[[#This Row],[Новая цена]])/Таблица1[[#This Row],[Старая цена]],0)</f>
        <v>3.0009276437847867E-2</v>
      </c>
      <c r="G285" s="5">
        <f>Таблица1[[#This Row],[Старая цена]]-Таблица1[[#This Row],[Новая цена]]</f>
        <v>647</v>
      </c>
      <c r="H285">
        <v>0</v>
      </c>
    </row>
    <row r="286" spans="1:8" x14ac:dyDescent="0.25">
      <c r="A286" t="s">
        <v>270</v>
      </c>
      <c r="B286" t="s">
        <v>191</v>
      </c>
      <c r="C286" s="2">
        <v>1581</v>
      </c>
      <c r="D286" s="2">
        <v>1757</v>
      </c>
      <c r="E286" s="4" t="s">
        <v>190</v>
      </c>
      <c r="F286" s="3">
        <f>IFERROR((Таблица1[[#This Row],[Старая цена]]-Таблица1[[#This Row],[Новая цена]])/Таблица1[[#This Row],[Старая цена]],0)</f>
        <v>0.10017074558907228</v>
      </c>
      <c r="G286" s="5">
        <f>Таблица1[[#This Row],[Старая цена]]-Таблица1[[#This Row],[Новая цена]]</f>
        <v>176</v>
      </c>
      <c r="H286">
        <v>0</v>
      </c>
    </row>
    <row r="287" spans="1:8" x14ac:dyDescent="0.25">
      <c r="A287" t="s">
        <v>264</v>
      </c>
      <c r="B287" t="s">
        <v>230</v>
      </c>
      <c r="C287" s="2">
        <v>4129</v>
      </c>
      <c r="D287" s="2">
        <v>5899</v>
      </c>
      <c r="E287" s="4" t="s">
        <v>190</v>
      </c>
      <c r="F287" s="3">
        <f>IFERROR((Таблица1[[#This Row],[Старая цена]]-Таблица1[[#This Row],[Новая цена]])/Таблица1[[#This Row],[Старая цена]],0)</f>
        <v>0.30005085607730125</v>
      </c>
      <c r="G287" s="5">
        <f>Таблица1[[#This Row],[Старая цена]]-Таблица1[[#This Row],[Новая цена]]</f>
        <v>1770</v>
      </c>
      <c r="H287">
        <v>0</v>
      </c>
    </row>
    <row r="288" spans="1:8" x14ac:dyDescent="0.25">
      <c r="A288" t="s">
        <v>277</v>
      </c>
      <c r="B288" t="s">
        <v>276</v>
      </c>
      <c r="C288" s="2">
        <v>1300</v>
      </c>
      <c r="E288" s="4" t="s">
        <v>190</v>
      </c>
      <c r="F288" s="3">
        <f>IFERROR((Таблица1[[#This Row],[Старая цена]]-Таблица1[[#This Row],[Новая цена]])/Таблица1[[#This Row],[Старая цена]],0)</f>
        <v>0</v>
      </c>
      <c r="G288" s="5">
        <f>Таблица1[[#This Row],[Старая цена]]-Таблица1[[#This Row],[Новая цена]]</f>
        <v>-1300</v>
      </c>
      <c r="H288">
        <v>0</v>
      </c>
    </row>
    <row r="289" spans="1:8" x14ac:dyDescent="0.25">
      <c r="A289" t="s">
        <v>277</v>
      </c>
      <c r="B289" t="s">
        <v>276</v>
      </c>
      <c r="C289" s="2">
        <v>1300</v>
      </c>
      <c r="E289" s="4" t="s">
        <v>190</v>
      </c>
      <c r="F289" s="3">
        <f>IFERROR((Таблица1[[#This Row],[Старая цена]]-Таблица1[[#This Row],[Новая цена]])/Таблица1[[#This Row],[Старая цена]],0)</f>
        <v>0</v>
      </c>
      <c r="G289" s="5">
        <f>Таблица1[[#This Row],[Старая цена]]-Таблица1[[#This Row],[Новая цена]]</f>
        <v>-1300</v>
      </c>
      <c r="H289">
        <v>0</v>
      </c>
    </row>
    <row r="290" spans="1:8" x14ac:dyDescent="0.25">
      <c r="A290" t="s">
        <v>238</v>
      </c>
      <c r="B290" t="s">
        <v>278</v>
      </c>
      <c r="C290" s="2">
        <v>470</v>
      </c>
      <c r="D290" s="2">
        <v>940</v>
      </c>
      <c r="E290" s="4" t="s">
        <v>190</v>
      </c>
      <c r="F290" s="3">
        <f>IFERROR((Таблица1[[#This Row],[Старая цена]]-Таблица1[[#This Row],[Новая цена]])/Таблица1[[#This Row],[Старая цена]],0)</f>
        <v>0.5</v>
      </c>
      <c r="G290" s="5">
        <f>Таблица1[[#This Row],[Старая цена]]-Таблица1[[#This Row],[Новая цена]]</f>
        <v>470</v>
      </c>
      <c r="H290">
        <v>41</v>
      </c>
    </row>
    <row r="291" spans="1:8" x14ac:dyDescent="0.25">
      <c r="A291" t="s">
        <v>238</v>
      </c>
      <c r="B291" t="s">
        <v>278</v>
      </c>
      <c r="C291" s="2">
        <v>470</v>
      </c>
      <c r="D291" s="2">
        <v>940</v>
      </c>
      <c r="E291" s="4" t="s">
        <v>190</v>
      </c>
      <c r="F291" s="3">
        <f>IFERROR((Таблица1[[#This Row],[Старая цена]]-Таблица1[[#This Row],[Новая цена]])/Таблица1[[#This Row],[Старая цена]],0)</f>
        <v>0.5</v>
      </c>
      <c r="G291" s="5">
        <f>Таблица1[[#This Row],[Старая цена]]-Таблица1[[#This Row],[Новая цена]]</f>
        <v>470</v>
      </c>
      <c r="H291">
        <v>41</v>
      </c>
    </row>
    <row r="292" spans="1:8" x14ac:dyDescent="0.25">
      <c r="A292" t="s">
        <v>279</v>
      </c>
      <c r="B292" t="s">
        <v>191</v>
      </c>
      <c r="C292" s="2">
        <v>1255</v>
      </c>
      <c r="D292" s="2">
        <v>2990</v>
      </c>
      <c r="E292" s="4" t="s">
        <v>190</v>
      </c>
      <c r="F292" s="3">
        <f>IFERROR((Таблица1[[#This Row],[Старая цена]]-Таблица1[[#This Row],[Новая цена]])/Таблица1[[#This Row],[Старая цена]],0)</f>
        <v>0.58026755852842804</v>
      </c>
      <c r="G292" s="5">
        <f>Таблица1[[#This Row],[Старая цена]]-Таблица1[[#This Row],[Новая цена]]</f>
        <v>1735</v>
      </c>
      <c r="H292">
        <v>6</v>
      </c>
    </row>
    <row r="293" spans="1:8" x14ac:dyDescent="0.25">
      <c r="A293" t="s">
        <v>263</v>
      </c>
      <c r="B293" t="s">
        <v>262</v>
      </c>
      <c r="C293" s="2">
        <v>4377</v>
      </c>
      <c r="E293" s="4" t="s">
        <v>190</v>
      </c>
      <c r="F293" s="3">
        <f>IFERROR((Таблица1[[#This Row],[Старая цена]]-Таблица1[[#This Row],[Новая цена]])/Таблица1[[#This Row],[Старая цена]],0)</f>
        <v>0</v>
      </c>
      <c r="G293" s="5">
        <f>Таблица1[[#This Row],[Старая цена]]-Таблица1[[#This Row],[Новая цена]]</f>
        <v>-4377</v>
      </c>
      <c r="H293">
        <v>0</v>
      </c>
    </row>
    <row r="294" spans="1:8" x14ac:dyDescent="0.25">
      <c r="A294" t="s">
        <v>281</v>
      </c>
      <c r="B294" t="s">
        <v>280</v>
      </c>
      <c r="C294" s="2">
        <v>19700</v>
      </c>
      <c r="E294" s="4" t="s">
        <v>190</v>
      </c>
      <c r="F294" s="3">
        <f>IFERROR((Таблица1[[#This Row],[Старая цена]]-Таблица1[[#This Row],[Новая цена]])/Таблица1[[#This Row],[Старая цена]],0)</f>
        <v>0</v>
      </c>
      <c r="G294" s="5">
        <f>Таблица1[[#This Row],[Старая цена]]-Таблица1[[#This Row],[Новая цена]]</f>
        <v>-19700</v>
      </c>
      <c r="H294">
        <v>0</v>
      </c>
    </row>
    <row r="295" spans="1:8" x14ac:dyDescent="0.25">
      <c r="A295" t="s">
        <v>283</v>
      </c>
      <c r="B295" t="s">
        <v>282</v>
      </c>
      <c r="C295" s="2">
        <v>16740</v>
      </c>
      <c r="D295" s="2">
        <v>18600</v>
      </c>
      <c r="E295" s="4" t="s">
        <v>190</v>
      </c>
      <c r="F295" s="3">
        <f>IFERROR((Таблица1[[#This Row],[Старая цена]]-Таблица1[[#This Row],[Новая цена]])/Таблица1[[#This Row],[Старая цена]],0)</f>
        <v>0.1</v>
      </c>
      <c r="G295" s="5">
        <f>Таблица1[[#This Row],[Старая цена]]-Таблица1[[#This Row],[Новая цена]]</f>
        <v>1860</v>
      </c>
      <c r="H295">
        <v>0</v>
      </c>
    </row>
    <row r="296" spans="1:8" x14ac:dyDescent="0.25">
      <c r="A296" t="s">
        <v>285</v>
      </c>
      <c r="B296" t="s">
        <v>284</v>
      </c>
      <c r="C296" s="2">
        <v>745</v>
      </c>
      <c r="D296" s="2">
        <v>2980</v>
      </c>
      <c r="E296" s="4" t="s">
        <v>190</v>
      </c>
      <c r="F296" s="3">
        <f>IFERROR((Таблица1[[#This Row],[Старая цена]]-Таблица1[[#This Row],[Новая цена]])/Таблица1[[#This Row],[Старая цена]],0)</f>
        <v>0.75</v>
      </c>
      <c r="G296" s="5">
        <f>Таблица1[[#This Row],[Старая цена]]-Таблица1[[#This Row],[Новая цена]]</f>
        <v>2235</v>
      </c>
      <c r="H296">
        <v>8</v>
      </c>
    </row>
    <row r="297" spans="1:8" x14ac:dyDescent="0.25">
      <c r="A297" t="s">
        <v>287</v>
      </c>
      <c r="B297" t="s">
        <v>286</v>
      </c>
      <c r="C297" s="2">
        <v>3975</v>
      </c>
      <c r="D297" s="2">
        <v>9245</v>
      </c>
      <c r="E297" s="4" t="s">
        <v>190</v>
      </c>
      <c r="F297" s="3">
        <f>IFERROR((Таблица1[[#This Row],[Старая цена]]-Таблица1[[#This Row],[Новая цена]])/Таблица1[[#This Row],[Старая цена]],0)</f>
        <v>0.57003785830178477</v>
      </c>
      <c r="G297" s="5">
        <f>Таблица1[[#This Row],[Старая цена]]-Таблица1[[#This Row],[Новая цена]]</f>
        <v>5270</v>
      </c>
      <c r="H297">
        <v>0</v>
      </c>
    </row>
    <row r="298" spans="1:8" x14ac:dyDescent="0.25">
      <c r="A298" t="s">
        <v>289</v>
      </c>
      <c r="B298" t="s">
        <v>288</v>
      </c>
      <c r="C298" s="2">
        <v>448</v>
      </c>
      <c r="D298" s="2">
        <v>650</v>
      </c>
      <c r="E298" s="4" t="s">
        <v>190</v>
      </c>
      <c r="F298" s="3">
        <f>IFERROR((Таблица1[[#This Row],[Старая цена]]-Таблица1[[#This Row],[Новая цена]])/Таблица1[[#This Row],[Старая цена]],0)</f>
        <v>0.31076923076923074</v>
      </c>
      <c r="G298" s="5">
        <f>Таблица1[[#This Row],[Старая цена]]-Таблица1[[#This Row],[Новая цена]]</f>
        <v>202</v>
      </c>
      <c r="H298">
        <v>1</v>
      </c>
    </row>
    <row r="299" spans="1:8" x14ac:dyDescent="0.25">
      <c r="A299" t="s">
        <v>291</v>
      </c>
      <c r="B299" t="s">
        <v>290</v>
      </c>
      <c r="C299" s="2">
        <v>1305</v>
      </c>
      <c r="D299" s="2">
        <v>4500</v>
      </c>
      <c r="E299" s="4" t="s">
        <v>190</v>
      </c>
      <c r="F299" s="3">
        <f>IFERROR((Таблица1[[#This Row],[Старая цена]]-Таблица1[[#This Row],[Новая цена]])/Таблица1[[#This Row],[Старая цена]],0)</f>
        <v>0.71</v>
      </c>
      <c r="G299" s="5">
        <f>Таблица1[[#This Row],[Старая цена]]-Таблица1[[#This Row],[Новая цена]]</f>
        <v>3195</v>
      </c>
      <c r="H299">
        <v>0</v>
      </c>
    </row>
    <row r="300" spans="1:8" x14ac:dyDescent="0.25">
      <c r="A300" t="s">
        <v>293</v>
      </c>
      <c r="B300" t="s">
        <v>292</v>
      </c>
      <c r="C300" s="2">
        <v>5369</v>
      </c>
      <c r="D300" s="2">
        <v>10738</v>
      </c>
      <c r="E300" s="4" t="s">
        <v>190</v>
      </c>
      <c r="F300" s="3">
        <f>IFERROR((Таблица1[[#This Row],[Старая цена]]-Таблица1[[#This Row],[Новая цена]])/Таблица1[[#This Row],[Старая цена]],0)</f>
        <v>0.5</v>
      </c>
      <c r="G300" s="5">
        <f>Таблица1[[#This Row],[Старая цена]]-Таблица1[[#This Row],[Новая цена]]</f>
        <v>5369</v>
      </c>
      <c r="H300">
        <v>0</v>
      </c>
    </row>
    <row r="301" spans="1:8" x14ac:dyDescent="0.25">
      <c r="A301" t="s">
        <v>294</v>
      </c>
      <c r="B301" t="s">
        <v>203</v>
      </c>
      <c r="C301" s="2">
        <v>5200</v>
      </c>
      <c r="E301" s="4" t="s">
        <v>190</v>
      </c>
      <c r="F301" s="3">
        <f>IFERROR((Таблица1[[#This Row],[Старая цена]]-Таблица1[[#This Row],[Новая цена]])/Таблица1[[#This Row],[Старая цена]],0)</f>
        <v>0</v>
      </c>
      <c r="G301" s="5">
        <f>Таблица1[[#This Row],[Старая цена]]-Таблица1[[#This Row],[Новая цена]]</f>
        <v>-5200</v>
      </c>
      <c r="H301">
        <v>0</v>
      </c>
    </row>
    <row r="302" spans="1:8" x14ac:dyDescent="0.25">
      <c r="A302" t="s">
        <v>296</v>
      </c>
      <c r="B302" t="s">
        <v>295</v>
      </c>
      <c r="C302" s="2">
        <v>7515</v>
      </c>
      <c r="D302" s="2">
        <v>10020</v>
      </c>
      <c r="E302" s="4" t="s">
        <v>190</v>
      </c>
      <c r="F302" s="3">
        <f>IFERROR((Таблица1[[#This Row],[Старая цена]]-Таблица1[[#This Row],[Новая цена]])/Таблица1[[#This Row],[Старая цена]],0)</f>
        <v>0.25</v>
      </c>
      <c r="G302" s="5">
        <f>Таблица1[[#This Row],[Старая цена]]-Таблица1[[#This Row],[Новая цена]]</f>
        <v>2505</v>
      </c>
      <c r="H302">
        <v>0</v>
      </c>
    </row>
    <row r="303" spans="1:8" x14ac:dyDescent="0.25">
      <c r="A303" t="s">
        <v>298</v>
      </c>
      <c r="B303" t="s">
        <v>297</v>
      </c>
      <c r="C303" s="2">
        <v>1500</v>
      </c>
      <c r="D303" s="2">
        <v>5000</v>
      </c>
      <c r="E303" s="4" t="s">
        <v>190</v>
      </c>
      <c r="F303" s="3">
        <f>IFERROR((Таблица1[[#This Row],[Старая цена]]-Таблица1[[#This Row],[Новая цена]])/Таблица1[[#This Row],[Старая цена]],0)</f>
        <v>0.7</v>
      </c>
      <c r="G303" s="5">
        <f>Таблица1[[#This Row],[Старая цена]]-Таблица1[[#This Row],[Новая цена]]</f>
        <v>3500</v>
      </c>
      <c r="H303">
        <v>0</v>
      </c>
    </row>
    <row r="304" spans="1:8" x14ac:dyDescent="0.25">
      <c r="A304" t="s">
        <v>300</v>
      </c>
      <c r="B304" t="s">
        <v>299</v>
      </c>
      <c r="C304" s="2">
        <v>3200</v>
      </c>
      <c r="D304" s="2">
        <v>8000</v>
      </c>
      <c r="E304" s="4" t="s">
        <v>190</v>
      </c>
      <c r="F304" s="3">
        <f>IFERROR((Таблица1[[#This Row],[Старая цена]]-Таблица1[[#This Row],[Новая цена]])/Таблица1[[#This Row],[Старая цена]],0)</f>
        <v>0.6</v>
      </c>
      <c r="G304" s="5">
        <f>Таблица1[[#This Row],[Старая цена]]-Таблица1[[#This Row],[Новая цена]]</f>
        <v>4800</v>
      </c>
      <c r="H304">
        <v>0</v>
      </c>
    </row>
    <row r="305" spans="1:8" x14ac:dyDescent="0.25">
      <c r="A305" t="s">
        <v>220</v>
      </c>
      <c r="B305" t="s">
        <v>230</v>
      </c>
      <c r="C305" s="2">
        <v>2999</v>
      </c>
      <c r="D305" s="2">
        <v>9999</v>
      </c>
      <c r="E305" s="4" t="s">
        <v>190</v>
      </c>
      <c r="F305" s="3">
        <f>IFERROR((Таблица1[[#This Row],[Старая цена]]-Таблица1[[#This Row],[Новая цена]])/Таблица1[[#This Row],[Старая цена]],0)</f>
        <v>0.7000700070007001</v>
      </c>
      <c r="G305" s="5">
        <f>Таблица1[[#This Row],[Старая цена]]-Таблица1[[#This Row],[Новая цена]]</f>
        <v>7000</v>
      </c>
      <c r="H305">
        <v>0</v>
      </c>
    </row>
  </sheetData>
  <hyperlinks>
    <hyperlink ref="E47" r:id="rId1" display="https://www.wildberries.ru/catalog/72919047/detail.aspx?targetUrl=XS"/>
    <hyperlink ref="E79" r:id="rId2" display="https://www.wildberries.ru/catalog/113030421/detail.aspx?targetUrl=XS"/>
    <hyperlink ref="E22" r:id="rId3" display="https://www.wildberries.ru/catalog/45156459/detail.aspx?targetUrl=XS"/>
    <hyperlink ref="E62" r:id="rId4" display="https://www.wildberries.ru/catalog/55263417/detail.aspx?targetUrl=XS"/>
    <hyperlink ref="E61" r:id="rId5" display="https://www.wildberries.ru/catalog/57387338/detail.aspx?targetUrl=XS"/>
    <hyperlink ref="E3" r:id="rId6" display="https://www.wildberries.ru/catalog/46510971/detail.aspx?targetUrl=XS"/>
    <hyperlink ref="E60" r:id="rId7" display="https://www.wildberries.ru/catalog/11389836/detail.aspx?targetUrl=XS"/>
    <hyperlink ref="E45" r:id="rId8" display="https://www.wildberries.ru/catalog/85469295/detail.aspx?targetUrl=XS"/>
    <hyperlink ref="E51" r:id="rId9" display="https://www.wildberries.ru/catalog/88497511/detail.aspx?targetUrl=XS"/>
    <hyperlink ref="E37" r:id="rId10" display="https://www.wildberries.ru/catalog/30086315/detail.aspx?targetUrl=XS"/>
    <hyperlink ref="E68" r:id="rId11" display="https://www.wildberries.ru/catalog/93090910/detail.aspx?targetUrl=XS"/>
    <hyperlink ref="E65" r:id="rId12" display="https://www.wildberries.ru/catalog/59757181/detail.aspx?targetUrl=XS"/>
    <hyperlink ref="E94" r:id="rId13" display="https://www.wildberries.ru/catalog/53170925/detail.aspx?targetUrl=XS"/>
    <hyperlink ref="E17" r:id="rId14" display="https://www.wildberries.ru/catalog/113466329/detail.aspx?targetUrl=XS"/>
    <hyperlink ref="E41" r:id="rId15" display="https://www.wildberries.ru/catalog/101242784/detail.aspx?targetUrl=XS"/>
    <hyperlink ref="E87" r:id="rId16" display="https://www.wildberries.ru/catalog/99304725/detail.aspx?targetUrl=XS"/>
    <hyperlink ref="E57" r:id="rId17" display="https://www.wildberries.ru/catalog/78149129/detail.aspx?targetUrl=XS"/>
    <hyperlink ref="E23" r:id="rId18" display="https://www.wildberries.ru/catalog/110727287/detail.aspx?targetUrl=XS"/>
    <hyperlink ref="E84" r:id="rId19" display="https://www.wildberries.ru/catalog/37350731/detail.aspx?targetUrl=XS"/>
    <hyperlink ref="E63" r:id="rId20" display="https://www.wildberries.ru/catalog/65018504/detail.aspx?targetUrl=XS"/>
    <hyperlink ref="E66" r:id="rId21" display="https://www.wildberries.ru/catalog/86901496/detail.aspx?targetUrl=XS"/>
    <hyperlink ref="E15" r:id="rId22" display="https://www.wildberries.ru/catalog/48441582/detail.aspx?targetUrl=XS"/>
    <hyperlink ref="E54" r:id="rId23" display="https://www.wildberries.ru/catalog/73681002/detail.aspx?targetUrl=XS"/>
    <hyperlink ref="E19" r:id="rId24" display="https://www.wildberries.ru/catalog/114689808/detail.aspx?targetUrl=XS"/>
    <hyperlink ref="E91" r:id="rId25" display="https://www.wildberries.ru/catalog/29323413/detail.aspx?targetUrl=XS"/>
    <hyperlink ref="E76" r:id="rId26" display="https://www.wildberries.ru/catalog/93080746/detail.aspx?targetUrl=XS"/>
    <hyperlink ref="E13" r:id="rId27" display="https://www.wildberries.ru/catalog/115550464/detail.aspx?targetUrl=XS"/>
    <hyperlink ref="E90" r:id="rId28" display="https://www.wildberries.ru/catalog/85809708/detail.aspx?targetUrl=XS"/>
    <hyperlink ref="E31" r:id="rId29" display="https://www.wildberries.ru/catalog/69276707/detail.aspx?targetUrl=XS"/>
    <hyperlink ref="E52" r:id="rId30" display="https://www.wildberries.ru/catalog/28187833/detail.aspx?targetUrl=XS"/>
    <hyperlink ref="E44" r:id="rId31" display="https://www.wildberries.ru/catalog/114610359/detail.aspx?targetUrl=XS"/>
    <hyperlink ref="E101" r:id="rId32" display="https://www.wildberries.ru/catalog/36947607/detail.aspx?targetUrl=XS"/>
    <hyperlink ref="E88" r:id="rId33" display="https://www.wildberries.ru/catalog/43733852/detail.aspx?targetUrl=XS"/>
    <hyperlink ref="E46" r:id="rId34" display="https://www.wildberries.ru/catalog/110799066/detail.aspx?targetUrl=XS"/>
    <hyperlink ref="E93" r:id="rId35" display="https://www.wildberries.ru/catalog/26923284/detail.aspx?targetUrl=XS"/>
    <hyperlink ref="E99" r:id="rId36" display="https://www.wildberries.ru/catalog/46681969/detail.aspx?targetUrl=XS"/>
    <hyperlink ref="E50" r:id="rId37" display="https://www.wildberries.ru/catalog/55127874/detail.aspx?targetUrl=XS"/>
    <hyperlink ref="E56" r:id="rId38" display="https://www.wildberries.ru/catalog/78155620/detail.aspx?targetUrl=XS"/>
    <hyperlink ref="E102" r:id="rId39" display="https://www.wildberries.ru/catalog/53597648/detail.aspx?targetUrl=XS"/>
    <hyperlink ref="E69" r:id="rId40" display="https://www.wildberries.ru/catalog/110374103/detail.aspx?targetUrl=XS"/>
    <hyperlink ref="E30" r:id="rId41" display="https://www.wildberries.ru/catalog/93100438/detail.aspx?targetUrl=XS"/>
    <hyperlink ref="E43" r:id="rId42" display="https://www.wildberries.ru/catalog/70736710/detail.aspx?targetUrl=XS"/>
    <hyperlink ref="E104" r:id="rId43" display="https://www.wildberries.ru/catalog/114707465/detail.aspx?targetUrl=XS"/>
    <hyperlink ref="E95" r:id="rId44" display="https://www.wildberries.ru/catalog/29331354/detail.aspx?targetUrl=XS"/>
    <hyperlink ref="E89" r:id="rId45" display="https://www.wildberries.ru/catalog/59209935/detail.aspx?targetUrl=XS"/>
    <hyperlink ref="E34" r:id="rId46" display="https://www.wildberries.ru/catalog/86442896/detail.aspx?targetUrl=XS"/>
    <hyperlink ref="E6" r:id="rId47" display="https://www.wildberries.ru/catalog/28149381/detail.aspx?targetUrl=XS"/>
    <hyperlink ref="E40" r:id="rId48" display="https://www.wildberries.ru/catalog/97309962/detail.aspx?targetUrl=XS"/>
    <hyperlink ref="E98" r:id="rId49" display="https://www.wildberries.ru/catalog/63755756/detail.aspx?targetUrl=XS"/>
    <hyperlink ref="E100" r:id="rId50" display="https://www.wildberries.ru/catalog/34006359/detail.aspx?targetUrl=XS"/>
    <hyperlink ref="E67" r:id="rId51" display="https://www.wildberries.ru/catalog/94117903/detail.aspx?targetUrl=XS"/>
    <hyperlink ref="E10" r:id="rId52" display="https://www.wildberries.ru/catalog/77856040/detail.aspx?targetUrl=XS"/>
    <hyperlink ref="E70" r:id="rId53" display="https://www.wildberries.ru/catalog/81871391/detail.aspx?targetUrl=XS"/>
    <hyperlink ref="E16" r:id="rId54" display="https://www.wildberries.ru/catalog/48441583/detail.aspx?targetUrl=XS"/>
    <hyperlink ref="E18" r:id="rId55" display="https://www.wildberries.ru/catalog/28220093/detail.aspx?targetUrl=XS"/>
    <hyperlink ref="E103" r:id="rId56" display="https://www.wildberries.ru/catalog/114974076/detail.aspx?targetUrl=XS"/>
    <hyperlink ref="E25" r:id="rId57" display="https://www.wildberries.ru/catalog/96121920/detail.aspx?targetUrl=XS"/>
    <hyperlink ref="E75" r:id="rId58" display="https://www.wildberries.ru/catalog/115923026/detail.aspx?targetUrl=XS"/>
    <hyperlink ref="E55" r:id="rId59" display="https://www.wildberries.ru/catalog/113199458/detail.aspx?targetUrl=XS"/>
    <hyperlink ref="E39" r:id="rId60" display="https://www.wildberries.ru/catalog/43225659/detail.aspx?targetUrl=XS"/>
    <hyperlink ref="E53" r:id="rId61" display="https://www.wildberries.ru/catalog/92336650/detail.aspx?targetUrl=XS"/>
    <hyperlink ref="E8" r:id="rId62" display="https://www.wildberries.ru/catalog/25847559/detail.aspx?targetUrl=XS"/>
    <hyperlink ref="E14" r:id="rId63" display="https://www.wildberries.ru/catalog/115550463/detail.aspx?targetUrl=XS"/>
    <hyperlink ref="E92" r:id="rId64" display="https://www.wildberries.ru/catalog/64542540/detail.aspx?targetUrl=XS"/>
    <hyperlink ref="E72" r:id="rId65" display="https://www.wildberries.ru/catalog/113051865/detail.aspx?targetUrl=XS"/>
    <hyperlink ref="E96" r:id="rId66" display="https://www.wildberries.ru/catalog/46702249/detail.aspx?targetUrl=XS"/>
    <hyperlink ref="E64" r:id="rId67" display="https://www.wildberries.ru/catalog/120925307/detail.aspx?targetUrl=XS"/>
    <hyperlink ref="E78" r:id="rId68" display="https://www.wildberries.ru/catalog/95629505/detail.aspx?targetUrl=XS"/>
    <hyperlink ref="E24" r:id="rId69" display="https://www.wildberries.ru/catalog/96036498/detail.aspx?targetUrl=XS"/>
    <hyperlink ref="E71" r:id="rId70" display="https://www.wildberries.ru/catalog/112981272/detail.aspx?targetUrl=XS"/>
    <hyperlink ref="E81" r:id="rId71" display="https://www.wildberries.ru/catalog/110944597/detail.aspx?targetUrl=XS"/>
    <hyperlink ref="E27" r:id="rId72" display="https://www.wildberries.ru/catalog/50132689/detail.aspx?targetUrl=XS"/>
    <hyperlink ref="E42" r:id="rId73" display="https://www.wildberries.ru/catalog/52772208/detail.aspx?targetUrl=XS"/>
    <hyperlink ref="E77" r:id="rId74" display="https://www.wildberries.ru/catalog/91909200/detail.aspx?targetUrl=XS"/>
    <hyperlink ref="E32" r:id="rId75" display="https://www.wildberries.ru/catalog/61939158/detail.aspx?targetUrl=XS"/>
    <hyperlink ref="E82" r:id="rId76" display="https://www.wildberries.ru/catalog/110944596/detail.aspx?targetUrl=XS"/>
    <hyperlink ref="E4" r:id="rId77" display="https://www.wildberries.ru/catalog/114538854/detail.aspx?targetUrl=XS"/>
    <hyperlink ref="E48" r:id="rId78" display="https://www.wildberries.ru/catalog/116508750/detail.aspx?targetUrl=XS"/>
    <hyperlink ref="E85" r:id="rId79" display="https://www.wildberries.ru/catalog/86724228/detail.aspx?targetUrl=XS"/>
    <hyperlink ref="E49" r:id="rId80" display="https://www.wildberries.ru/catalog/17075854/detail.aspx?targetUrl=XS"/>
    <hyperlink ref="E20" r:id="rId81" display="https://www.wildberries.ru/catalog/117757741/detail.aspx?targetUrl=XS"/>
    <hyperlink ref="E36" r:id="rId82" display="https://www.wildberries.ru/catalog/97542865/detail.aspx?targetUrl=XS"/>
    <hyperlink ref="E35" r:id="rId83" display="https://www.wildberries.ru/catalog/76334713/detail.aspx?targetUrl=XS"/>
    <hyperlink ref="E21" r:id="rId84" display="https://www.wildberries.ru/catalog/79689096/detail.aspx?targetUrl=XS"/>
    <hyperlink ref="E28" r:id="rId85" display="https://www.wildberries.ru/catalog/69276833/detail.aspx?targetUrl=XS"/>
    <hyperlink ref="E9" r:id="rId86" display="https://www.wildberries.ru/catalog/112895572/detail.aspx?targetUrl=XS"/>
    <hyperlink ref="E86" r:id="rId87" display="https://www.wildberries.ru/catalog/114411464/detail.aspx?targetUrl=XS"/>
    <hyperlink ref="E74" r:id="rId88" display="https://www.wildberries.ru/catalog/78482453/detail.aspx?targetUrl=XS"/>
    <hyperlink ref="E33" r:id="rId89" display="https://www.wildberries.ru/catalog/61939159/detail.aspx?targetUrl=XS"/>
    <hyperlink ref="E59" r:id="rId90" display="https://www.wildberries.ru/catalog/12456827/detail.aspx?targetUrl=XS"/>
    <hyperlink ref="E97" r:id="rId91" display="https://www.wildberries.ru/catalog/25679019/detail.aspx?targetUrl=XS"/>
    <hyperlink ref="E29" r:id="rId92" display="https://www.wildberries.ru/catalog/97975622/detail.aspx?targetUrl=XS"/>
    <hyperlink ref="E26" r:id="rId93" display="https://www.wildberries.ru/catalog/95984752/detail.aspx?targetUrl=XS"/>
    <hyperlink ref="E58" r:id="rId94" display="https://www.wildberries.ru/catalog/39273992/detail.aspx?targetUrl=XS"/>
    <hyperlink ref="E105" r:id="rId95" display="https://www.wildberries.ru/catalog/72919047/detail.aspx?targetUrl=XS"/>
    <hyperlink ref="E73" r:id="rId96" display="https://www.wildberries.ru/catalog/38704923/detail.aspx?targetUrl=XS"/>
    <hyperlink ref="E83" r:id="rId97" display="https://www.wildberries.ru/catalog/78204782/detail.aspx?targetUrl=XS"/>
    <hyperlink ref="E7" r:id="rId98" display="https://www.wildberries.ru/catalog/41476174/detail.aspx?targetUrl=XS"/>
    <hyperlink ref="E11" r:id="rId99" display="https://www.wildberries.ru/catalog/114797508/detail.aspx?targetUrl=XS"/>
    <hyperlink ref="E12" r:id="rId100" display="https://www.wildberries.ru/catalog/88830381/detail.aspx?targetUrl=XS"/>
    <hyperlink ref="E5" r:id="rId101" display="https://www.wildberries.ru/catalog/29971886/detail.aspx?targetUrl=XS"/>
    <hyperlink ref="E38" r:id="rId102" display="https://www.wildberries.ru/catalog/61939157/detail.aspx?targetUrl=XS"/>
    <hyperlink ref="E80" r:id="rId103" display="https://www.wildberries.ru/catalog/42150332/detail.aspx?targetUrl=XS"/>
    <hyperlink ref="E106" r:id="rId104" display="https://www.wildberries.ru/catalog/81871391/detail.aspx?targetUrl=XS"/>
    <hyperlink ref="E107" r:id="rId105" display="https://www.wildberries.ru/catalog/45156459/detail.aspx?targetUrl=XS"/>
    <hyperlink ref="E108" r:id="rId106" display="https://www.wildberries.ru/catalog/55263417/detail.aspx?targetUrl=XS"/>
    <hyperlink ref="E109" r:id="rId107" display="https://www.wildberries.ru/catalog/57387338/detail.aspx?targetUrl=XS"/>
    <hyperlink ref="E110" r:id="rId108" display="https://www.wildberries.ru/catalog/88497511/detail.aspx?targetUrl=XS"/>
    <hyperlink ref="E111" r:id="rId109" display="https://www.wildberries.ru/catalog/11389836/detail.aspx?targetUrl=XS"/>
    <hyperlink ref="E112" r:id="rId110" display="https://www.wildberries.ru/catalog/46510971/detail.aspx?targetUrl=XS"/>
    <hyperlink ref="E113" r:id="rId111" display="https://www.wildberries.ru/catalog/70736710/detail.aspx?targetUrl=XS"/>
    <hyperlink ref="E114" r:id="rId112" display="https://www.wildberries.ru/catalog/99304725/detail.aspx?targetUrl=XS"/>
    <hyperlink ref="E115" r:id="rId113" display="https://www.wildberries.ru/catalog/97939626/detail.aspx?targetUrl=XS"/>
    <hyperlink ref="E116" r:id="rId114" display="https://www.wildberries.ru/catalog/116795752/detail.aspx?targetUrl=XS"/>
    <hyperlink ref="E117" r:id="rId115" display="https://www.wildberries.ru/catalog/93080746/detail.aspx?targetUrl=XS"/>
    <hyperlink ref="E118" r:id="rId116" display="https://www.wildberries.ru/catalog/110727287/detail.aspx?targetUrl=XS"/>
    <hyperlink ref="E119" r:id="rId117" display="https://www.wildberries.ru/catalog/85469295/detail.aspx?targetUrl=XS"/>
    <hyperlink ref="E120" r:id="rId118" display="https://www.wildberries.ru/catalog/30086315/detail.aspx?targetUrl=XS"/>
    <hyperlink ref="E121" r:id="rId119" display="https://www.wildberries.ru/catalog/59757181/detail.aspx?targetUrl=XS"/>
    <hyperlink ref="E122" r:id="rId120" display="https://www.wildberries.ru/catalog/113466329/detail.aspx?targetUrl=XS"/>
    <hyperlink ref="E123" r:id="rId121" display="https://www.wildberries.ru/catalog/53170925/detail.aspx?targetUrl=XS"/>
    <hyperlink ref="E124" r:id="rId122" display="https://www.wildberries.ru/catalog/55127874/detail.aspx?targetUrl=XS"/>
    <hyperlink ref="E125" r:id="rId123" display="https://www.wildberries.ru/catalog/86901496/detail.aspx?targetUrl=XS"/>
    <hyperlink ref="E126" r:id="rId124" display="https://www.wildberries.ru/catalog/114689808/detail.aspx?targetUrl=XS"/>
    <hyperlink ref="E127" r:id="rId125" display="https://www.wildberries.ru/catalog/87604770/detail.aspx?targetUrl=XS"/>
    <hyperlink ref="E128" r:id="rId126" display="https://www.wildberries.ru/catalog/37350731/detail.aspx?targetUrl=XS"/>
    <hyperlink ref="E129" r:id="rId127" display="https://www.wildberries.ru/catalog/36947607/detail.aspx?targetUrl=XS"/>
    <hyperlink ref="E130" r:id="rId128" display="https://www.wildberries.ru/catalog/28143729/detail.aspx?targetUrl=XS"/>
    <hyperlink ref="E131" r:id="rId129" display="https://www.wildberries.ru/catalog/78149129/detail.aspx?targetUrl=XS"/>
    <hyperlink ref="E132" r:id="rId130" display="https://www.wildberries.ru/catalog/87298542/detail.aspx?targetUrl=XS"/>
    <hyperlink ref="E133" r:id="rId131" display="https://www.wildberries.ru/catalog/65018504/detail.aspx?targetUrl=XS"/>
    <hyperlink ref="E134" r:id="rId132" display="https://www.wildberries.ru/catalog/110799066/detail.aspx?targetUrl=XS"/>
    <hyperlink ref="E135" r:id="rId133" display="https://www.wildberries.ru/catalog/29323413/detail.aspx?targetUrl=XS"/>
    <hyperlink ref="E136" r:id="rId134" display="https://www.wildberries.ru/catalog/46268506/detail.aspx?targetUrl=XS"/>
    <hyperlink ref="E137" r:id="rId135" display="https://www.wildberries.ru/catalog/25847559/detail.aspx?targetUrl=XS"/>
    <hyperlink ref="E138" r:id="rId136" display="https://www.wildberries.ru/catalog/85809708/detail.aspx?targetUrl=XS"/>
    <hyperlink ref="E139" r:id="rId137" display="https://www.wildberries.ru/catalog/114610359/detail.aspx?targetUrl=XS"/>
    <hyperlink ref="E140" r:id="rId138" display="https://www.wildberries.ru/catalog/114707465/detail.aspx?targetUrl=XS"/>
    <hyperlink ref="E141" r:id="rId139" display="https://www.wildberries.ru/catalog/73681002/detail.aspx?targetUrl=XS"/>
    <hyperlink ref="E142" r:id="rId140" display="https://www.wildberries.ru/catalog/28187833/detail.aspx?targetUrl=XS"/>
    <hyperlink ref="E143" r:id="rId141" display="https://www.wildberries.ru/catalog/26923284/detail.aspx?targetUrl=XS"/>
    <hyperlink ref="E144" r:id="rId142" display="https://www.wildberries.ru/catalog/115550464/detail.aspx?targetUrl=XS"/>
    <hyperlink ref="E145" r:id="rId143" display="https://www.wildberries.ru/catalog/97947019/detail.aspx?targetUrl=XS"/>
    <hyperlink ref="E146" r:id="rId144" display="https://www.wildberries.ru/catalog/53597648/detail.aspx?targetUrl=XS"/>
    <hyperlink ref="E147" r:id="rId145" display="https://www.wildberries.ru/catalog/46307058/detail.aspx?targetUrl=XS"/>
    <hyperlink ref="E148" r:id="rId146" display="https://www.wildberries.ru/catalog/100367371/detail.aspx?targetUrl=XS"/>
    <hyperlink ref="E149" r:id="rId147" display="https://www.wildberries.ru/catalog/46681969/detail.aspx?targetUrl=XS"/>
    <hyperlink ref="E150" r:id="rId148" display="https://www.wildberries.ru/catalog/43733852/detail.aspx?targetUrl=XS"/>
    <hyperlink ref="E151" r:id="rId149" display="https://www.wildberries.ru/catalog/114538854/detail.aspx?targetUrl=XS"/>
    <hyperlink ref="E152" r:id="rId150" display="https://www.wildberries.ru/catalog/86442896/detail.aspx?targetUrl=XS"/>
    <hyperlink ref="E153" r:id="rId151" display="https://www.wildberries.ru/catalog/28123833/detail.aspx?targetUrl=XS"/>
    <hyperlink ref="E154" r:id="rId152" display="https://www.wildberries.ru/catalog/34006359/detail.aspx?targetUrl=XS"/>
    <hyperlink ref="E155" r:id="rId153" display="https://www.wildberries.ru/catalog/78204782/detail.aspx?targetUrl=XS"/>
    <hyperlink ref="E156" r:id="rId154" display="https://www.wildberries.ru/catalog/78155620/detail.aspx?targetUrl=XS"/>
    <hyperlink ref="E157" r:id="rId155" display="https://www.wildberries.ru/catalog/61939158/detail.aspx?targetUrl=XS"/>
    <hyperlink ref="E158" r:id="rId156" display="https://www.wildberries.ru/catalog/76334713/detail.aspx?targetUrl=XS"/>
    <hyperlink ref="E159" r:id="rId157" display="https://www.wildberries.ru/catalog/110944596/detail.aspx?targetUrl=XS"/>
    <hyperlink ref="E160" r:id="rId158" display="https://www.wildberries.ru/catalog/59209935/detail.aspx?targetUrl=XS"/>
    <hyperlink ref="E161" r:id="rId159" display="https://www.wildberries.ru/catalog/94117903/detail.aspx?targetUrl=XS"/>
    <hyperlink ref="E162" r:id="rId160" display="https://www.wildberries.ru/catalog/28693272/detail.aspx?targetUrl=XS"/>
    <hyperlink ref="E163" r:id="rId161" display="https://www.wildberries.ru/catalog/54810037/detail.aspx?targetUrl=XS"/>
    <hyperlink ref="E164" r:id="rId162" display="https://www.wildberries.ru/catalog/115550463/detail.aspx?targetUrl=XS"/>
    <hyperlink ref="E165" r:id="rId163" display="https://www.wildberries.ru/catalog/29331354/detail.aspx?targetUrl=XS"/>
    <hyperlink ref="E166" r:id="rId164" display="https://www.wildberries.ru/catalog/120925307/detail.aspx?targetUrl=XS"/>
    <hyperlink ref="E167" r:id="rId165" display="https://www.wildberries.ru/catalog/63755756/detail.aspx?targetUrl=XS"/>
    <hyperlink ref="E168" r:id="rId166" display="https://www.wildberries.ru/catalog/46702249/detail.aspx?targetUrl=XS"/>
    <hyperlink ref="E169" r:id="rId167" display="https://www.wildberries.ru/catalog/110944597/detail.aspx?targetUrl=XS"/>
    <hyperlink ref="E170" r:id="rId168" display="https://www.wildberries.ru/catalog/28149381/detail.aspx?targetUrl=XS"/>
    <hyperlink ref="E171" r:id="rId169" display="https://www.wildberries.ru/catalog/113199458/detail.aspx?targetUrl=XS"/>
    <hyperlink ref="E172" r:id="rId170" display="https://www.wildberries.ru/catalog/73423707/detail.aspx?targetUrl=XS"/>
    <hyperlink ref="E173" r:id="rId171" display="https://www.wildberries.ru/catalog/93100438/detail.aspx?targetUrl=XS"/>
    <hyperlink ref="E174" r:id="rId172" display="https://www.wildberries.ru/catalog/89019790/detail.aspx?targetUrl=XS"/>
    <hyperlink ref="E175" r:id="rId173" display="https://www.wildberries.ru/catalog/12456827/detail.aspx?targetUrl=XS"/>
    <hyperlink ref="E176" r:id="rId174" display="https://www.wildberries.ru/catalog/54810038/detail.aspx?targetUrl=XS"/>
    <hyperlink ref="E177" r:id="rId175" display="https://www.wildberries.ru/catalog/95325830/detail.aspx?targetUrl=XS"/>
    <hyperlink ref="E178" r:id="rId176" display="https://www.wildberries.ru/catalog/115923026/detail.aspx?targetUrl=XS"/>
    <hyperlink ref="E179" r:id="rId177" display="https://www.wildberries.ru/catalog/96674844/detail.aspx?targetUrl=XS"/>
    <hyperlink ref="E180" r:id="rId178" display="https://www.wildberries.ru/catalog/61939159/detail.aspx?targetUrl=XS"/>
    <hyperlink ref="E181" r:id="rId179" display="https://www.wildberries.ru/catalog/114974076/detail.aspx?targetUrl=XS"/>
    <hyperlink ref="E182" r:id="rId180" display="https://www.wildberries.ru/catalog/113030421/detail.aspx?targetUrl=XS"/>
    <hyperlink ref="E183" r:id="rId181" display="https://www.wildberries.ru/catalog/97309962/detail.aspx?targetUrl=XS"/>
    <hyperlink ref="E184" r:id="rId182" display="https://www.wildberries.ru/catalog/64903240/detail.aspx?targetUrl=XS"/>
    <hyperlink ref="E185" r:id="rId183" display="https://www.wildberries.ru/catalog/91011716/detail.aspx?targetUrl=XS"/>
    <hyperlink ref="E186" r:id="rId184" display="https://www.wildberries.ru/catalog/112981272/detail.aspx?targetUrl=XS"/>
    <hyperlink ref="E187" r:id="rId185" display="https://www.wildberries.ru/catalog/64542540/detail.aspx?targetUrl=XS"/>
    <hyperlink ref="E188" r:id="rId186" display="https://www.wildberries.ru/catalog/116547235/detail.aspx?targetUrl=XS"/>
    <hyperlink ref="E189" r:id="rId187" display="https://www.wildberries.ru/catalog/92336650/detail.aspx?targetUrl=XS"/>
    <hyperlink ref="E190" r:id="rId188" display="https://www.wildberries.ru/catalog/96036498/detail.aspx?targetUrl=XS"/>
    <hyperlink ref="E191" r:id="rId189" display="https://www.wildberries.ru/catalog/47967636/detail.aspx?targetUrl=XS"/>
    <hyperlink ref="E192" r:id="rId190" display="https://www.wildberries.ru/catalog/50194734/detail.aspx?targetUrl=XS"/>
    <hyperlink ref="E193" r:id="rId191" display="https://www.wildberries.ru/catalog/93477176/detail.aspx?targetUrl=XS"/>
    <hyperlink ref="E194" r:id="rId192" display="https://www.wildberries.ru/catalog/43225659/detail.aspx?targetUrl=XS"/>
    <hyperlink ref="E195" r:id="rId193" display="https://www.wildberries.ru/catalog/116508750/detail.aspx?targetUrl=XS"/>
    <hyperlink ref="E196" r:id="rId194" display="https://www.wildberries.ru/catalog/74817077/detail.aspx?targetUrl=XS"/>
    <hyperlink ref="E197" r:id="rId195" display="https://www.wildberries.ru/catalog/112506967/detail.aspx?targetUrl=XS"/>
    <hyperlink ref="E198" r:id="rId196" display="https://www.wildberries.ru/catalog/120930298/detail.aspx?targetUrl=XS"/>
    <hyperlink ref="E199" r:id="rId197" display="https://www.wildberries.ru/catalog/77856040/detail.aspx?targetUrl=XS"/>
    <hyperlink ref="E200" r:id="rId198" display="https://www.wildberries.ru/catalog/101242784/detail.aspx?targetUrl=XS"/>
    <hyperlink ref="E201" r:id="rId199" display="https://www.wildberries.ru/catalog/120197503/detail.aspx?targetUrl=XS"/>
    <hyperlink ref="E202" r:id="rId200" display="https://www.wildberries.ru/catalog/39273992/detail.aspx?targetUrl=XS"/>
    <hyperlink ref="E203" r:id="rId201" display="https://www.wildberries.ru/catalog/69276833/detail.aspx?targetUrl=XS"/>
    <hyperlink ref="E204" r:id="rId202" display="https://www.wildberries.ru/catalog/62673640/detail.aspx?targetUrl=XS"/>
    <hyperlink ref="E205" r:id="rId203" display="https://www.wildberries.ru/catalog/86806442/detail.aspx?targetUrl=XS"/>
    <hyperlink ref="E206" r:id="rId204" display="https://www.wildberries.ru/catalog/88594353/detail.aspx?targetUrl=XS"/>
    <hyperlink ref="E207" r:id="rId205" display="https://www.wildberries.ru/catalog/76273645/detail.aspx?targetUrl=XS"/>
    <hyperlink ref="E208" r:id="rId206" display="https://www.wildberries.ru/catalog/92261793/detail.aspx?targetUrl=XS"/>
    <hyperlink ref="E209" r:id="rId207" display="https://www.wildberries.ru/catalog/85420122/detail.aspx?targetUrl=XS"/>
    <hyperlink ref="E210" r:id="rId208" display="https://www.wildberries.ru/catalog/50060710/detail.aspx?targetUrl=XS"/>
    <hyperlink ref="E211" r:id="rId209" display="https://www.wildberries.ru/catalog/92134665/detail.aspx?targetUrl=XS"/>
    <hyperlink ref="E212" r:id="rId210" display="https://www.wildberries.ru/catalog/86013178/detail.aspx?targetUrl=XS"/>
    <hyperlink ref="E213" r:id="rId211" display="https://www.wildberries.ru/catalog/74270461/detail.aspx?targetUrl=XS"/>
    <hyperlink ref="E214" r:id="rId212" display="https://www.wildberries.ru/catalog/86013173/detail.aspx?targetUrl=XS"/>
    <hyperlink ref="E215" r:id="rId213" display="https://www.wildberries.ru/catalog/69048674/detail.aspx?targetUrl=XS"/>
    <hyperlink ref="E216" r:id="rId214" display="https://www.wildberries.ru/catalog/78988984/detail.aspx?targetUrl=XS"/>
    <hyperlink ref="E217" r:id="rId215" display="https://www.wildberries.ru/catalog/81298004/detail.aspx?targetUrl=XS"/>
    <hyperlink ref="E218" r:id="rId216" display="https://www.wildberries.ru/catalog/86013175/detail.aspx?targetUrl=XS"/>
    <hyperlink ref="E219" r:id="rId217" display="https://www.wildberries.ru/catalog/84384002/detail.aspx?targetUrl=XS"/>
    <hyperlink ref="E220" r:id="rId218" display="https://www.wildberries.ru/catalog/50060711/detail.aspx?targetUrl=XS"/>
    <hyperlink ref="E221" r:id="rId219" display="https://www.wildberries.ru/catalog/94774603/detail.aspx?targetUrl=XS"/>
    <hyperlink ref="E222" r:id="rId220" display="https://www.wildberries.ru/catalog/84622769/detail.aspx?targetUrl=XS"/>
    <hyperlink ref="E223" r:id="rId221" display="https://www.wildberries.ru/catalog/50060712/detail.aspx?targetUrl=XS"/>
    <hyperlink ref="E224" r:id="rId222" display="https://www.wildberries.ru/catalog/72675191/detail.aspx?targetUrl=XS"/>
    <hyperlink ref="E225" r:id="rId223" display="https://www.wildberries.ru/catalog/90203354/detail.aspx?targetUrl=XS"/>
    <hyperlink ref="E226" r:id="rId224" display="https://www.wildberries.ru/catalog/93056048/detail.aspx?targetUrl=XS"/>
    <hyperlink ref="E227" r:id="rId225" display="https://www.wildberries.ru/catalog/86013176/detail.aspx?targetUrl=XS"/>
    <hyperlink ref="E228" r:id="rId226" display="https://www.wildberries.ru/catalog/90955459/detail.aspx?targetUrl=XS"/>
    <hyperlink ref="E229" r:id="rId227" display="https://www.wildberries.ru/catalog/85419053/detail.aspx?targetUrl=XS"/>
    <hyperlink ref="E230" r:id="rId228" display="https://www.wildberries.ru/catalog/33792844/detail.aspx?targetUrl=XS"/>
    <hyperlink ref="E231" r:id="rId229" display="https://www.wildberries.ru/catalog/92261792/detail.aspx?targetUrl=XS"/>
    <hyperlink ref="E232" r:id="rId230" display="https://www.wildberries.ru/catalog/15579576/detail.aspx?targetUrl=XS"/>
    <hyperlink ref="E233" r:id="rId231" display="https://www.wildberries.ru/catalog/88506735/detail.aspx?targetUrl=XS"/>
    <hyperlink ref="E234" r:id="rId232" display="https://www.wildberries.ru/catalog/113996798/detail.aspx?targetUrl=XS"/>
    <hyperlink ref="E235" r:id="rId233" display="https://www.wildberries.ru/catalog/86013177/detail.aspx?targetUrl=XS"/>
    <hyperlink ref="E236" r:id="rId234" display="https://www.wildberries.ru/catalog/75772477/detail.aspx?targetUrl=XS"/>
    <hyperlink ref="E237" r:id="rId235" display="https://www.wildberries.ru/catalog/86013174/detail.aspx?targetUrl=XS"/>
    <hyperlink ref="E238" r:id="rId236" display="https://www.wildberries.ru/catalog/111000404/detail.aspx?targetUrl=XS"/>
    <hyperlink ref="E239" r:id="rId237" display="https://www.wildberries.ru/catalog/93627160/detail.aspx?targetUrl=XS"/>
    <hyperlink ref="E240" r:id="rId238" display="https://www.wildberries.ru/catalog/75270701/detail.aspx?targetUrl=XS"/>
    <hyperlink ref="E241" r:id="rId239" display="https://www.wildberries.ru/catalog/101326114/detail.aspx?targetUrl=XS"/>
    <hyperlink ref="E242" r:id="rId240" display="https://www.wildberries.ru/catalog/76587039/detail.aspx?targetUrl=XS"/>
    <hyperlink ref="E243" r:id="rId241" display="https://www.wildberries.ru/catalog/91020846/detail.aspx?targetUrl=XS"/>
    <hyperlink ref="E244" r:id="rId242" display="https://www.wildberries.ru/catalog/92134664/detail.aspx?targetUrl=XS"/>
    <hyperlink ref="E245" r:id="rId243" display="https://www.wildberries.ru/catalog/36666632/detail.aspx?targetUrl=XS"/>
    <hyperlink ref="E246" r:id="rId244" display="https://www.wildberries.ru/catalog/77944403/detail.aspx?targetUrl=XS"/>
    <hyperlink ref="E247" r:id="rId245" display="https://www.wildberries.ru/catalog/86473008/detail.aspx?targetUrl=XS"/>
    <hyperlink ref="E248" r:id="rId246" display="https://www.wildberries.ru/catalog/61147107/detail.aspx?targetUrl=XS"/>
    <hyperlink ref="E249" r:id="rId247" display="https://www.wildberries.ru/catalog/73735986/detail.aspx?targetUrl=XS"/>
    <hyperlink ref="E250" r:id="rId248" display="https://www.wildberries.ru/catalog/92261796/detail.aspx?targetUrl=XS"/>
    <hyperlink ref="E251" r:id="rId249" display="https://www.wildberries.ru/catalog/73224990/detail.aspx?targetUrl=XS"/>
    <hyperlink ref="E252" r:id="rId250" display="https://www.wildberries.ru/catalog/90639667/detail.aspx?targetUrl=XS"/>
    <hyperlink ref="E253" r:id="rId251" display="https://www.wildberries.ru/catalog/93627422/detail.aspx?targetUrl=XS"/>
    <hyperlink ref="E254" r:id="rId252" display="https://www.wildberries.ru/catalog/35567892/detail.aspx?targetUrl=XS"/>
    <hyperlink ref="E255" r:id="rId253" display="https://www.wildberries.ru/catalog/90083731/detail.aspx?targetUrl=XS"/>
    <hyperlink ref="E256" r:id="rId254" display="https://www.wildberries.ru/catalog/85960763/detail.aspx?targetUrl=XS"/>
    <hyperlink ref="E257" r:id="rId255" display="https://www.wildberries.ru/catalog/92484827/detail.aspx?targetUrl=XS"/>
    <hyperlink ref="E258" r:id="rId256" display="https://www.wildberries.ru/catalog/92092497/detail.aspx?targetUrl=XS"/>
    <hyperlink ref="E259" r:id="rId257" display="https://www.wildberries.ru/catalog/66270631/detail.aspx?targetUrl=XS"/>
    <hyperlink ref="E260" r:id="rId258" display="https://www.wildberries.ru/catalog/94116948/detail.aspx?targetUrl=XS"/>
    <hyperlink ref="E261" r:id="rId259" display="https://www.wildberries.ru/catalog/113174992/detail.aspx?targetUrl=XS"/>
    <hyperlink ref="E262" r:id="rId260" display="https://www.wildberries.ru/catalog/60702177/detail.aspx?targetUrl=XS"/>
    <hyperlink ref="E263" r:id="rId261" display="https://www.wildberries.ru/catalog/28655500/detail.aspx?targetUrl=XS"/>
    <hyperlink ref="E264" r:id="rId262" display="https://www.wildberries.ru/catalog/94521475/detail.aspx?targetUrl=XS"/>
    <hyperlink ref="E265" r:id="rId263" display="https://www.wildberries.ru/catalog/39149126/detail.aspx?targetUrl=XS"/>
    <hyperlink ref="E266" r:id="rId264" display="https://www.wildberries.ru/catalog/41956513/detail.aspx?targetUrl=XS"/>
    <hyperlink ref="E267" r:id="rId265" display="https://www.wildberries.ru/catalog/94119440/detail.aspx?targetUrl=XS"/>
    <hyperlink ref="E268" r:id="rId266" display="https://www.wildberries.ru/catalog/49758344/detail.aspx?targetUrl=XS"/>
    <hyperlink ref="E269" r:id="rId267" display="https://www.wildberries.ru/catalog/114340422/detail.aspx?targetUrl=XS"/>
    <hyperlink ref="E270" r:id="rId268" display="https://www.wildberries.ru/catalog/94663335/detail.aspx?targetUrl=XS"/>
    <hyperlink ref="E271" r:id="rId269" display="https://www.wildberries.ru/catalog/92631909/detail.aspx?targetUrl=XS"/>
    <hyperlink ref="E272" r:id="rId270" display="https://www.wildberries.ru/catalog/113481149/detail.aspx?targetUrl=XS"/>
    <hyperlink ref="E273" r:id="rId271" display="https://www.wildberries.ru/catalog/48556740/detail.aspx?targetUrl=XS"/>
    <hyperlink ref="E274" r:id="rId272" display="https://www.wildberries.ru/catalog/75414804/detail.aspx?targetUrl=XS"/>
    <hyperlink ref="E275" r:id="rId273" display="https://www.wildberries.ru/catalog/36666633/detail.aspx?targetUrl=XS"/>
    <hyperlink ref="E276" r:id="rId274" display="https://www.wildberries.ru/catalog/79015908/detail.aspx?targetUrl=XS"/>
    <hyperlink ref="E277" r:id="rId275" display="https://www.wildberries.ru/catalog/95041844/detail.aspx?targetUrl=XS"/>
    <hyperlink ref="E278" r:id="rId276" display="https://www.wildberries.ru/catalog/48556739/detail.aspx?targetUrl=XS"/>
    <hyperlink ref="E279" r:id="rId277" display="https://www.wildberries.ru/catalog/76302958/detail.aspx?targetUrl=XS"/>
    <hyperlink ref="E280" r:id="rId278" display="https://www.wildberries.ru/catalog/115885635/detail.aspx?targetUrl=XS"/>
    <hyperlink ref="E281" r:id="rId279" display="https://www.wildberries.ru/catalog/115885789/detail.aspx?targetUrl=XS"/>
    <hyperlink ref="E282" r:id="rId280" display="https://www.wildberries.ru/catalog/73224989/detail.aspx?targetUrl=XS"/>
    <hyperlink ref="E283" r:id="rId281" display="https://www.wildberries.ru/catalog/90130172/detail.aspx?targetUrl=XS"/>
    <hyperlink ref="E284" r:id="rId282" display="https://www.wildberries.ru/catalog/96488267/detail.aspx?targetUrl=XS"/>
    <hyperlink ref="E285" r:id="rId283" display="https://www.wildberries.ru/catalog/115608934/detail.aspx?targetUrl=XS"/>
    <hyperlink ref="E286" r:id="rId284" display="https://www.wildberries.ru/catalog/115884592/detail.aspx?targetUrl=XS"/>
    <hyperlink ref="E287" r:id="rId285" display="https://www.wildberries.ru/catalog/92631907/detail.aspx?targetUrl=XS"/>
    <hyperlink ref="E288" r:id="rId286" display="https://www.wildberries.ru/catalog/100343373/detail.aspx?targetUrl=XS"/>
    <hyperlink ref="E289" r:id="rId287" display="https://www.wildberries.ru/catalog/100343274/detail.aspx?targetUrl=XS"/>
    <hyperlink ref="E290" r:id="rId288" display="https://www.wildberries.ru/catalog/48554042/detail.aspx?targetUrl=XS"/>
    <hyperlink ref="E291" r:id="rId289" display="https://www.wildberries.ru/catalog/36246491/detail.aspx?targetUrl=XS"/>
    <hyperlink ref="E292" r:id="rId290" display="https://www.wildberries.ru/catalog/78387700/detail.aspx?targetUrl=XS"/>
    <hyperlink ref="E293" r:id="rId291" display="https://www.wildberries.ru/catalog/95900524/detail.aspx?targetUrl=XS"/>
    <hyperlink ref="E294" r:id="rId292" display="https://www.wildberries.ru/catalog/102143255/detail.aspx?targetUrl=XS"/>
    <hyperlink ref="E295" r:id="rId293" display="https://www.wildberries.ru/catalog/102565278/detail.aspx?targetUrl=XS"/>
    <hyperlink ref="E296" r:id="rId294" display="https://www.wildberries.ru/catalog/81707561/detail.aspx?targetUrl=XS"/>
    <hyperlink ref="E297" r:id="rId295" display="https://www.wildberries.ru/catalog/95041843/detail.aspx?targetUrl=XS"/>
    <hyperlink ref="E298" r:id="rId296" display="https://www.wildberries.ru/catalog/112925169/detail.aspx?targetUrl=XS"/>
    <hyperlink ref="E299" r:id="rId297" display="https://www.wildberries.ru/catalog/94721604/detail.aspx?targetUrl=XS"/>
    <hyperlink ref="E300" r:id="rId298" display="https://www.wildberries.ru/catalog/99058612/detail.aspx?targetUrl=XS"/>
    <hyperlink ref="E301" r:id="rId299" display="https://www.wildberries.ru/catalog/97302884/detail.aspx?targetUrl=XS"/>
    <hyperlink ref="E302" r:id="rId300" display="https://www.wildberries.ru/catalog/96881348/detail.aspx?targetUrl=XS"/>
    <hyperlink ref="E303" r:id="rId301" display="https://www.wildberries.ru/catalog/110546873/detail.aspx?targetUrl=XS"/>
    <hyperlink ref="E304" r:id="rId302" display="https://www.wildberries.ru/catalog/79068550/detail.aspx?targetUrl=XS"/>
    <hyperlink ref="E305" r:id="rId303" display="https://www.wildberries.ru/catalog/92509924/detail.aspx?targetUrl=XS"/>
  </hyperlinks>
  <pageMargins left="0.7" right="0.7" top="0.75" bottom="0.75" header="0.3" footer="0.3"/>
  <drawing r:id="rId304"/>
  <tableParts count="1">
    <tablePart r:id="rId30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"/>
  <sheetViews>
    <sheetView workbookViewId="0">
      <selection activeCell="D14" sqref="D14"/>
    </sheetView>
  </sheetViews>
  <sheetFormatPr defaultRowHeight="15" x14ac:dyDescent="0.25"/>
  <cols>
    <col min="3" max="3" width="10.140625" bestFit="1" customWidth="1"/>
  </cols>
  <sheetData>
    <row r="1" spans="1:3" x14ac:dyDescent="0.25">
      <c r="A1" t="s">
        <v>301</v>
      </c>
      <c r="B1" t="s">
        <v>302</v>
      </c>
      <c r="C1" s="6">
        <v>44862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Лист34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Шувалов Никита Богданович</dc:creator>
  <cp:lastModifiedBy>sapfu</cp:lastModifiedBy>
  <dcterms:created xsi:type="dcterms:W3CDTF">2022-09-22T10:34:27Z</dcterms:created>
  <dcterms:modified xsi:type="dcterms:W3CDTF">2022-10-10T19:32:31Z</dcterms:modified>
</cp:coreProperties>
</file>